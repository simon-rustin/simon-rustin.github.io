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nidaM\Desktop\Cathy\posted\"/>
    </mc:Choice>
  </mc:AlternateContent>
  <bookViews>
    <workbookView xWindow="12590" yWindow="-20" windowWidth="12630" windowHeight="12410"/>
  </bookViews>
  <sheets>
    <sheet name="Calculator - Males" sheetId="1" r:id="rId1"/>
    <sheet name="Calculator - Females" sheetId="5" r:id="rId2"/>
    <sheet name="Reference BMD Data" sheetId="3" state="veryHidden" r:id="rId3"/>
  </sheets>
  <calcPr calcId="162913"/>
</workbook>
</file>

<file path=xl/calcChain.xml><?xml version="1.0" encoding="utf-8"?>
<calcChain xmlns="http://schemas.openxmlformats.org/spreadsheetml/2006/main">
  <c r="U12" i="3" l="1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11" i="3"/>
  <c r="J11" i="5"/>
  <c r="J12" i="5"/>
  <c r="J13" i="5"/>
  <c r="J14" i="5"/>
  <c r="J15" i="5"/>
  <c r="J16" i="5"/>
  <c r="J17" i="5"/>
  <c r="J18" i="5"/>
  <c r="J19" i="5"/>
  <c r="J10" i="5"/>
  <c r="I11" i="5"/>
  <c r="I12" i="5"/>
  <c r="I13" i="5"/>
  <c r="I14" i="5"/>
  <c r="I15" i="5"/>
  <c r="I16" i="5"/>
  <c r="I17" i="5"/>
  <c r="I18" i="5"/>
  <c r="I19" i="5"/>
  <c r="I10" i="5"/>
  <c r="H11" i="5"/>
  <c r="H12" i="5"/>
  <c r="H13" i="5"/>
  <c r="H14" i="5"/>
  <c r="H15" i="5"/>
  <c r="H16" i="5"/>
  <c r="H17" i="5"/>
  <c r="H18" i="5"/>
  <c r="K18" i="5" s="1"/>
  <c r="H19" i="5"/>
  <c r="H10" i="5"/>
  <c r="E11" i="5"/>
  <c r="E12" i="5"/>
  <c r="E13" i="5"/>
  <c r="E14" i="5"/>
  <c r="E15" i="5"/>
  <c r="E16" i="5"/>
  <c r="E17" i="5"/>
  <c r="E18" i="5"/>
  <c r="E19" i="5"/>
  <c r="E10" i="5"/>
  <c r="D11" i="5"/>
  <c r="D12" i="5"/>
  <c r="D13" i="5"/>
  <c r="D14" i="5"/>
  <c r="D15" i="5"/>
  <c r="D16" i="5"/>
  <c r="D17" i="5"/>
  <c r="D18" i="5"/>
  <c r="D19" i="5"/>
  <c r="D10" i="5"/>
  <c r="C11" i="5"/>
  <c r="C12" i="5"/>
  <c r="F12" i="5" s="1"/>
  <c r="C13" i="5"/>
  <c r="F13" i="5" s="1"/>
  <c r="C14" i="5"/>
  <c r="C15" i="5"/>
  <c r="C16" i="5"/>
  <c r="F16" i="5" s="1"/>
  <c r="C17" i="5"/>
  <c r="F17" i="5" s="1"/>
  <c r="C18" i="5"/>
  <c r="C19" i="5"/>
  <c r="C10" i="5"/>
  <c r="K19" i="5"/>
  <c r="F15" i="5" l="1"/>
  <c r="F11" i="5"/>
  <c r="K17" i="5"/>
  <c r="F18" i="5"/>
  <c r="F14" i="5"/>
  <c r="K16" i="5"/>
  <c r="F10" i="5"/>
  <c r="F19" i="5"/>
  <c r="K10" i="5"/>
  <c r="K11" i="5"/>
  <c r="K12" i="5"/>
  <c r="K13" i="5"/>
  <c r="K14" i="5"/>
  <c r="K15" i="5"/>
  <c r="H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I10" i="1"/>
  <c r="C11" i="1"/>
  <c r="D11" i="1"/>
  <c r="C12" i="1"/>
  <c r="D12" i="1"/>
  <c r="C13" i="1"/>
  <c r="D13" i="1"/>
  <c r="C14" i="1"/>
  <c r="D14" i="1"/>
  <c r="C15" i="1"/>
  <c r="D15" i="1"/>
  <c r="C16" i="1"/>
  <c r="F16" i="1" s="1"/>
  <c r="D16" i="1"/>
  <c r="C17" i="1"/>
  <c r="D17" i="1"/>
  <c r="C18" i="1"/>
  <c r="F18" i="1" s="1"/>
  <c r="D18" i="1"/>
  <c r="C19" i="1"/>
  <c r="D19" i="1"/>
  <c r="D10" i="1"/>
  <c r="C10" i="1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J11" i="1"/>
  <c r="J12" i="1"/>
  <c r="J13" i="1"/>
  <c r="J14" i="1"/>
  <c r="J15" i="1"/>
  <c r="J16" i="1"/>
  <c r="J17" i="1"/>
  <c r="J18" i="1"/>
  <c r="J19" i="1"/>
  <c r="E11" i="1"/>
  <c r="E12" i="1"/>
  <c r="E13" i="1"/>
  <c r="E14" i="1"/>
  <c r="E15" i="1"/>
  <c r="E16" i="1"/>
  <c r="E17" i="1"/>
  <c r="E18" i="1"/>
  <c r="E19" i="1"/>
  <c r="J10" i="1"/>
  <c r="E10" i="1"/>
  <c r="F17" i="1" l="1"/>
  <c r="F19" i="1"/>
  <c r="F12" i="1"/>
  <c r="F14" i="1"/>
  <c r="K19" i="1"/>
  <c r="K18" i="1"/>
  <c r="K17" i="1"/>
  <c r="K16" i="1"/>
  <c r="K15" i="1"/>
  <c r="K14" i="1"/>
  <c r="K13" i="1"/>
  <c r="K12" i="1"/>
  <c r="K11" i="1"/>
  <c r="K10" i="1"/>
  <c r="F15" i="1"/>
  <c r="F13" i="1"/>
  <c r="F11" i="1"/>
  <c r="S7" i="3" l="1"/>
  <c r="T7" i="3"/>
  <c r="S8" i="3"/>
  <c r="T8" i="3"/>
  <c r="S9" i="3"/>
  <c r="T9" i="3"/>
  <c r="S10" i="3"/>
  <c r="T10" i="3"/>
  <c r="S11" i="3"/>
  <c r="T11" i="3"/>
  <c r="S12" i="3"/>
  <c r="T12" i="3"/>
  <c r="S13" i="3"/>
  <c r="T13" i="3"/>
  <c r="S14" i="3"/>
  <c r="T14" i="3"/>
  <c r="S15" i="3"/>
  <c r="T15" i="3"/>
  <c r="S16" i="3"/>
  <c r="T16" i="3"/>
  <c r="S17" i="3"/>
  <c r="T17" i="3"/>
  <c r="S18" i="3"/>
  <c r="T18" i="3"/>
  <c r="S19" i="3"/>
  <c r="T19" i="3"/>
  <c r="S20" i="3"/>
  <c r="T20" i="3"/>
  <c r="S21" i="3"/>
  <c r="T21" i="3"/>
  <c r="S22" i="3"/>
  <c r="T22" i="3"/>
  <c r="S23" i="3"/>
  <c r="T23" i="3"/>
  <c r="S24" i="3"/>
  <c r="T24" i="3"/>
  <c r="S25" i="3"/>
  <c r="T25" i="3"/>
  <c r="S26" i="3"/>
  <c r="T26" i="3"/>
  <c r="S27" i="3"/>
  <c r="T27" i="3"/>
  <c r="S28" i="3"/>
  <c r="T28" i="3"/>
  <c r="S29" i="3"/>
  <c r="T29" i="3"/>
  <c r="S30" i="3"/>
  <c r="T30" i="3"/>
  <c r="S31" i="3"/>
  <c r="T31" i="3"/>
  <c r="S32" i="3"/>
  <c r="T32" i="3"/>
  <c r="S33" i="3"/>
  <c r="T33" i="3"/>
  <c r="S34" i="3"/>
  <c r="T34" i="3"/>
  <c r="S35" i="3"/>
  <c r="T35" i="3"/>
  <c r="S36" i="3"/>
  <c r="T36" i="3"/>
  <c r="S37" i="3"/>
  <c r="T37" i="3"/>
  <c r="S38" i="3"/>
  <c r="T38" i="3"/>
  <c r="S39" i="3"/>
  <c r="T39" i="3"/>
  <c r="S40" i="3"/>
  <c r="T40" i="3"/>
  <c r="S41" i="3"/>
  <c r="T41" i="3"/>
  <c r="S42" i="3"/>
  <c r="T42" i="3"/>
  <c r="S43" i="3"/>
  <c r="T43" i="3"/>
  <c r="S44" i="3"/>
  <c r="T44" i="3"/>
  <c r="S45" i="3"/>
  <c r="T45" i="3"/>
  <c r="S46" i="3"/>
  <c r="T46" i="3"/>
  <c r="S47" i="3"/>
  <c r="T47" i="3"/>
  <c r="S48" i="3"/>
  <c r="T48" i="3"/>
  <c r="S49" i="3"/>
  <c r="T49" i="3"/>
  <c r="S50" i="3"/>
  <c r="T50" i="3"/>
  <c r="S51" i="3"/>
  <c r="T51" i="3"/>
  <c r="S52" i="3"/>
  <c r="T52" i="3"/>
  <c r="S53" i="3"/>
  <c r="T53" i="3"/>
  <c r="S54" i="3"/>
  <c r="T54" i="3"/>
  <c r="S55" i="3"/>
  <c r="T55" i="3"/>
  <c r="S56" i="3"/>
  <c r="T56" i="3"/>
  <c r="S57" i="3"/>
  <c r="T57" i="3"/>
  <c r="S58" i="3"/>
  <c r="T58" i="3"/>
  <c r="S59" i="3"/>
  <c r="T59" i="3"/>
  <c r="S60" i="3"/>
  <c r="T60" i="3"/>
  <c r="S61" i="3"/>
  <c r="T61" i="3"/>
  <c r="S62" i="3"/>
  <c r="T62" i="3"/>
  <c r="S63" i="3"/>
  <c r="T63" i="3"/>
  <c r="S64" i="3"/>
  <c r="T64" i="3"/>
  <c r="S65" i="3"/>
  <c r="T65" i="3"/>
  <c r="S66" i="3"/>
  <c r="T66" i="3"/>
  <c r="T6" i="3"/>
  <c r="S6" i="3"/>
  <c r="N7" i="3"/>
  <c r="O7" i="3"/>
  <c r="N8" i="3"/>
  <c r="O8" i="3"/>
  <c r="N9" i="3"/>
  <c r="O9" i="3"/>
  <c r="N10" i="3"/>
  <c r="O10" i="3"/>
  <c r="N11" i="3"/>
  <c r="O11" i="3"/>
  <c r="N12" i="3"/>
  <c r="O12" i="3"/>
  <c r="N13" i="3"/>
  <c r="O13" i="3"/>
  <c r="N14" i="3"/>
  <c r="O14" i="3"/>
  <c r="N15" i="3"/>
  <c r="O15" i="3"/>
  <c r="N16" i="3"/>
  <c r="O16" i="3"/>
  <c r="N17" i="3"/>
  <c r="O17" i="3"/>
  <c r="N18" i="3"/>
  <c r="O18" i="3"/>
  <c r="N19" i="3"/>
  <c r="O19" i="3"/>
  <c r="N20" i="3"/>
  <c r="O20" i="3"/>
  <c r="N21" i="3"/>
  <c r="O21" i="3"/>
  <c r="N22" i="3"/>
  <c r="O22" i="3"/>
  <c r="N23" i="3"/>
  <c r="O23" i="3"/>
  <c r="N24" i="3"/>
  <c r="O24" i="3"/>
  <c r="N25" i="3"/>
  <c r="O25" i="3"/>
  <c r="N26" i="3"/>
  <c r="O26" i="3"/>
  <c r="N27" i="3"/>
  <c r="O27" i="3"/>
  <c r="N28" i="3"/>
  <c r="O28" i="3"/>
  <c r="N29" i="3"/>
  <c r="O29" i="3"/>
  <c r="N30" i="3"/>
  <c r="O30" i="3"/>
  <c r="N31" i="3"/>
  <c r="O31" i="3"/>
  <c r="N32" i="3"/>
  <c r="O32" i="3"/>
  <c r="N33" i="3"/>
  <c r="O33" i="3"/>
  <c r="N34" i="3"/>
  <c r="O34" i="3"/>
  <c r="N35" i="3"/>
  <c r="O35" i="3"/>
  <c r="N36" i="3"/>
  <c r="O36" i="3"/>
  <c r="N37" i="3"/>
  <c r="O37" i="3"/>
  <c r="N38" i="3"/>
  <c r="O38" i="3"/>
  <c r="N39" i="3"/>
  <c r="O39" i="3"/>
  <c r="N40" i="3"/>
  <c r="O40" i="3"/>
  <c r="N41" i="3"/>
  <c r="O41" i="3"/>
  <c r="N42" i="3"/>
  <c r="O42" i="3"/>
  <c r="N43" i="3"/>
  <c r="O43" i="3"/>
  <c r="N44" i="3"/>
  <c r="O44" i="3"/>
  <c r="N45" i="3"/>
  <c r="O45" i="3"/>
  <c r="N46" i="3"/>
  <c r="O46" i="3"/>
  <c r="N47" i="3"/>
  <c r="O47" i="3"/>
  <c r="N48" i="3"/>
  <c r="O48" i="3"/>
  <c r="N49" i="3"/>
  <c r="O49" i="3"/>
  <c r="N50" i="3"/>
  <c r="O50" i="3"/>
  <c r="N51" i="3"/>
  <c r="O51" i="3"/>
  <c r="N52" i="3"/>
  <c r="O52" i="3"/>
  <c r="N53" i="3"/>
  <c r="O53" i="3"/>
  <c r="N54" i="3"/>
  <c r="O54" i="3"/>
  <c r="N55" i="3"/>
  <c r="O55" i="3"/>
  <c r="N56" i="3"/>
  <c r="O56" i="3"/>
  <c r="N57" i="3"/>
  <c r="O57" i="3"/>
  <c r="N58" i="3"/>
  <c r="O58" i="3"/>
  <c r="N59" i="3"/>
  <c r="O59" i="3"/>
  <c r="N60" i="3"/>
  <c r="O60" i="3"/>
  <c r="N61" i="3"/>
  <c r="O61" i="3"/>
  <c r="N62" i="3"/>
  <c r="O62" i="3"/>
  <c r="N63" i="3"/>
  <c r="O63" i="3"/>
  <c r="N64" i="3"/>
  <c r="O64" i="3"/>
  <c r="N65" i="3"/>
  <c r="O65" i="3"/>
  <c r="N66" i="3"/>
  <c r="O66" i="3"/>
  <c r="O6" i="3"/>
  <c r="N6" i="3"/>
  <c r="F10" i="1" l="1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J6" i="3"/>
  <c r="I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E6" i="3"/>
  <c r="D6" i="3"/>
</calcChain>
</file>

<file path=xl/sharedStrings.xml><?xml version="1.0" encoding="utf-8"?>
<sst xmlns="http://schemas.openxmlformats.org/spreadsheetml/2006/main" count="66" uniqueCount="27">
  <si>
    <t>Age</t>
  </si>
  <si>
    <t>Femoral BMD</t>
  </si>
  <si>
    <t>Mean</t>
  </si>
  <si>
    <t>SD</t>
  </si>
  <si>
    <t>Tibial BMD</t>
  </si>
  <si>
    <t>Reference BMD Data</t>
  </si>
  <si>
    <t>Male</t>
  </si>
  <si>
    <t>Female</t>
  </si>
  <si>
    <t>Male Subjects</t>
  </si>
  <si>
    <t>Z-Score</t>
  </si>
  <si>
    <t>T-Score</t>
  </si>
  <si>
    <t>BMD</t>
  </si>
  <si>
    <t>Femur</t>
  </si>
  <si>
    <t>Tibia</t>
  </si>
  <si>
    <t>Female Subjects</t>
  </si>
  <si>
    <t>Pop. Mean</t>
  </si>
  <si>
    <t>Pop. SD</t>
  </si>
  <si>
    <t>+2 SD</t>
  </si>
  <si>
    <t>-2 SD</t>
  </si>
  <si>
    <t>NOTE: Reference value for T-scores is gender-matched maximum BMD between ages of 20 and 25</t>
  </si>
  <si>
    <t>Femur &amp; Tibia T-Score/Z-Score Calculator - Males</t>
  </si>
  <si>
    <t>Femur &amp; Tibia T-Score/Z-Score Calculator - Females</t>
  </si>
  <si>
    <t xml:space="preserve">Name: </t>
  </si>
  <si>
    <t xml:space="preserve">Instructions: </t>
  </si>
  <si>
    <t xml:space="preserve">Enter age and BMD data in coloured cells. Results appear in boxed cells. </t>
  </si>
  <si>
    <t xml:space="preserve">For age &gt; 70, Z-Score is based on 70 year old population mean and SD (yellow cells). </t>
  </si>
  <si>
    <t xml:space="preserve">For age &lt; 15, Z-Score is based on data with a low n (green cells).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</si>
</sst>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.000_-;\-* #,##0.000_-;_-* &quot;-&quot;??_-;_-@_-"/>
    <numFmt numFmtId="166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rgb="FFCCEC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2" fillId="0" borderId="0" xfId="0" applyFont="1"/>
    <xf numFmtId="165" fontId="3" fillId="0" borderId="0" xfId="1" applyNumberFormat="1" applyFont="1"/>
    <xf numFmtId="165" fontId="2" fillId="0" borderId="0" xfId="1" applyNumberFormat="1" applyFont="1" applyAlignment="1">
      <alignment horizontal="center"/>
    </xf>
    <xf numFmtId="165" fontId="0" fillId="0" borderId="0" xfId="1" applyNumberFormat="1" applyFont="1"/>
    <xf numFmtId="165" fontId="2" fillId="0" borderId="0" xfId="1" quotePrefix="1" applyNumberFormat="1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5" fontId="0" fillId="3" borderId="1" xfId="1" applyNumberFormat="1" applyFont="1" applyFill="1" applyBorder="1"/>
    <xf numFmtId="165" fontId="0" fillId="3" borderId="2" xfId="1" applyNumberFormat="1" applyFont="1" applyFill="1" applyBorder="1"/>
    <xf numFmtId="166" fontId="0" fillId="0" borderId="0" xfId="1" applyNumberFormat="1" applyFont="1" applyAlignment="1">
      <alignment horizontal="center"/>
    </xf>
    <xf numFmtId="166" fontId="3" fillId="0" borderId="0" xfId="1" applyNumberFormat="1" applyFont="1" applyAlignment="1"/>
    <xf numFmtId="1" fontId="3" fillId="0" borderId="0" xfId="1" applyNumberFormat="1" applyFont="1"/>
    <xf numFmtId="1" fontId="2" fillId="0" borderId="0" xfId="1" applyNumberFormat="1" applyFont="1" applyAlignment="1">
      <alignment horizontal="center"/>
    </xf>
    <xf numFmtId="1" fontId="2" fillId="0" borderId="0" xfId="1" quotePrefix="1" applyNumberFormat="1" applyFont="1" applyAlignment="1">
      <alignment horizontal="center"/>
    </xf>
    <xf numFmtId="1" fontId="0" fillId="0" borderId="0" xfId="1" applyNumberFormat="1" applyFont="1"/>
    <xf numFmtId="165" fontId="2" fillId="0" borderId="0" xfId="1" applyNumberFormat="1" applyFont="1"/>
    <xf numFmtId="0" fontId="4" fillId="0" borderId="0" xfId="0" applyFont="1"/>
    <xf numFmtId="165" fontId="2" fillId="0" borderId="0" xfId="1" applyNumberFormat="1" applyFont="1" applyAlignment="1">
      <alignment horizontal="center"/>
    </xf>
    <xf numFmtId="165" fontId="2" fillId="0" borderId="6" xfId="1" applyNumberFormat="1" applyFont="1" applyBorder="1" applyAlignment="1">
      <alignment horizontal="center" vertical="center" wrapText="1"/>
    </xf>
    <xf numFmtId="165" fontId="2" fillId="0" borderId="4" xfId="1" applyNumberFormat="1" applyFont="1" applyBorder="1"/>
    <xf numFmtId="165" fontId="4" fillId="0" borderId="0" xfId="1" applyNumberFormat="1" applyFont="1"/>
    <xf numFmtId="165" fontId="2" fillId="0" borderId="7" xfId="1" applyNumberFormat="1" applyFont="1" applyBorder="1" applyAlignment="1">
      <alignment horizontal="center" vertical="center" wrapText="1"/>
    </xf>
    <xf numFmtId="165" fontId="2" fillId="0" borderId="0" xfId="1" applyNumberFormat="1" applyFont="1" applyBorder="1" applyAlignment="1">
      <alignment horizontal="center" vertical="center" wrapText="1"/>
    </xf>
    <xf numFmtId="165" fontId="0" fillId="0" borderId="2" xfId="1" applyNumberFormat="1" applyFont="1" applyBorder="1"/>
    <xf numFmtId="165" fontId="2" fillId="0" borderId="5" xfId="1" applyNumberFormat="1" applyFont="1" applyBorder="1" applyAlignment="1">
      <alignment horizontal="center" vertical="center" wrapText="1"/>
    </xf>
    <xf numFmtId="165" fontId="0" fillId="2" borderId="1" xfId="1" applyNumberFormat="1" applyFont="1" applyFill="1" applyBorder="1"/>
    <xf numFmtId="165" fontId="0" fillId="2" borderId="2" xfId="1" applyNumberFormat="1" applyFont="1" applyFill="1" applyBorder="1"/>
    <xf numFmtId="0" fontId="2" fillId="0" borderId="1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left"/>
    </xf>
    <xf numFmtId="0" fontId="2" fillId="0" borderId="3" xfId="0" applyFont="1" applyFill="1" applyBorder="1" applyAlignment="1">
      <alignment horizontal="left"/>
    </xf>
    <xf numFmtId="165" fontId="2" fillId="0" borderId="1" xfId="1" applyNumberFormat="1" applyFont="1" applyBorder="1" applyAlignment="1">
      <alignment horizontal="center"/>
    </xf>
    <xf numFmtId="165" fontId="2" fillId="0" borderId="2" xfId="1" applyNumberFormat="1" applyFont="1" applyBorder="1" applyAlignment="1">
      <alignment horizontal="center"/>
    </xf>
    <xf numFmtId="165" fontId="2" fillId="0" borderId="3" xfId="1" applyNumberFormat="1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2" fillId="0" borderId="0" xfId="1" applyNumberFormat="1" applyFont="1" applyAlignment="1">
      <alignment horizontal="center"/>
    </xf>
    <xf numFmtId="165" fontId="2" fillId="3" borderId="0" xfId="1" applyNumberFormat="1" applyFont="1" applyFill="1" applyAlignment="1">
      <alignment horizontal="center"/>
    </xf>
    <xf numFmtId="165" fontId="2" fillId="2" borderId="0" xfId="1" applyNumberFormat="1" applyFont="1" applyFill="1" applyAlignment="1">
      <alignment horizontal="center"/>
    </xf>
    <xf numFmtId="166" fontId="2" fillId="0" borderId="0" xfId="1" applyNumberFormat="1" applyFont="1" applyAlignment="1">
      <alignment horizontal="center" vertical="center"/>
    </xf>
  </cellXfs>
  <cellStyles count="2">
    <cellStyle name="Comma" xfId="1" builtinId="3"/>
    <cellStyle name="Normal" xfId="0" builtinId="0"/>
  </cellStyles>
  <dxfs count="8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00FF"/>
      <color rgb="FFFFCCFF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CA" sz="1400"/>
              <a:t>Age vs. BMD of Distal Femur - Males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Mean Male Femoral BMD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Data'!$B$11:$B$66</c:f>
              <c:numCache>
                <c:formatCode>_-* #,##0.000_-;\-* #,##0.000_-;_-* "-"??_-;_-@_-</c:formatCode>
                <c:ptCount val="56"/>
                <c:pt idx="0">
                  <c:v>1.0669999999999999</c:v>
                </c:pt>
                <c:pt idx="1">
                  <c:v>1.071</c:v>
                </c:pt>
                <c:pt idx="2">
                  <c:v>1.0740000000000001</c:v>
                </c:pt>
                <c:pt idx="3">
                  <c:v>1.0780000000000001</c:v>
                </c:pt>
                <c:pt idx="4">
                  <c:v>1.081</c:v>
                </c:pt>
                <c:pt idx="5">
                  <c:v>1.085</c:v>
                </c:pt>
                <c:pt idx="6">
                  <c:v>1.089</c:v>
                </c:pt>
                <c:pt idx="7">
                  <c:v>1.0920000000000001</c:v>
                </c:pt>
                <c:pt idx="8">
                  <c:v>1.0960000000000001</c:v>
                </c:pt>
                <c:pt idx="9">
                  <c:v>1.099</c:v>
                </c:pt>
                <c:pt idx="10">
                  <c:v>1.103</c:v>
                </c:pt>
                <c:pt idx="11">
                  <c:v>1.107</c:v>
                </c:pt>
                <c:pt idx="12">
                  <c:v>1.1100000000000001</c:v>
                </c:pt>
                <c:pt idx="13">
                  <c:v>1.1140000000000001</c:v>
                </c:pt>
                <c:pt idx="14">
                  <c:v>1.117</c:v>
                </c:pt>
                <c:pt idx="15">
                  <c:v>1.121</c:v>
                </c:pt>
                <c:pt idx="16">
                  <c:v>1.125</c:v>
                </c:pt>
                <c:pt idx="17">
                  <c:v>1.1279999999999999</c:v>
                </c:pt>
                <c:pt idx="18">
                  <c:v>1.1319999999999999</c:v>
                </c:pt>
                <c:pt idx="19">
                  <c:v>1.135</c:v>
                </c:pt>
                <c:pt idx="20">
                  <c:v>1.139</c:v>
                </c:pt>
                <c:pt idx="21">
                  <c:v>1.143</c:v>
                </c:pt>
                <c:pt idx="22">
                  <c:v>1.1459999999999999</c:v>
                </c:pt>
                <c:pt idx="23">
                  <c:v>1.1499999999999999</c:v>
                </c:pt>
                <c:pt idx="24">
                  <c:v>1.153</c:v>
                </c:pt>
                <c:pt idx="25">
                  <c:v>1.157</c:v>
                </c:pt>
                <c:pt idx="26">
                  <c:v>1.161</c:v>
                </c:pt>
                <c:pt idx="27">
                  <c:v>1.1639999999999999</c:v>
                </c:pt>
                <c:pt idx="28">
                  <c:v>1.1679999999999999</c:v>
                </c:pt>
                <c:pt idx="29">
                  <c:v>1.171</c:v>
                </c:pt>
                <c:pt idx="30">
                  <c:v>1.175</c:v>
                </c:pt>
                <c:pt idx="31">
                  <c:v>1.179</c:v>
                </c:pt>
                <c:pt idx="32">
                  <c:v>1.1819999999999999</c:v>
                </c:pt>
                <c:pt idx="33">
                  <c:v>1.1859999999999999</c:v>
                </c:pt>
                <c:pt idx="34">
                  <c:v>1.1890000000000001</c:v>
                </c:pt>
                <c:pt idx="35">
                  <c:v>1.1930000000000001</c:v>
                </c:pt>
                <c:pt idx="36">
                  <c:v>1.1970000000000001</c:v>
                </c:pt>
                <c:pt idx="37">
                  <c:v>1.2</c:v>
                </c:pt>
                <c:pt idx="38">
                  <c:v>1.204</c:v>
                </c:pt>
                <c:pt idx="39">
                  <c:v>1.2070000000000001</c:v>
                </c:pt>
                <c:pt idx="40">
                  <c:v>1.2110000000000001</c:v>
                </c:pt>
                <c:pt idx="41">
                  <c:v>1.2150000000000001</c:v>
                </c:pt>
                <c:pt idx="42">
                  <c:v>1.218</c:v>
                </c:pt>
                <c:pt idx="43">
                  <c:v>1.222</c:v>
                </c:pt>
                <c:pt idx="44">
                  <c:v>1.2250000000000001</c:v>
                </c:pt>
                <c:pt idx="45">
                  <c:v>1.2290000000000001</c:v>
                </c:pt>
                <c:pt idx="46">
                  <c:v>1.2330000000000001</c:v>
                </c:pt>
                <c:pt idx="47">
                  <c:v>1.236</c:v>
                </c:pt>
                <c:pt idx="48">
                  <c:v>1.24</c:v>
                </c:pt>
                <c:pt idx="49">
                  <c:v>1.2430000000000001</c:v>
                </c:pt>
                <c:pt idx="50">
                  <c:v>1.2470000000000001</c:v>
                </c:pt>
                <c:pt idx="51">
                  <c:v>1.2509999999999999</c:v>
                </c:pt>
                <c:pt idx="52">
                  <c:v>1.254</c:v>
                </c:pt>
                <c:pt idx="53">
                  <c:v>1.258</c:v>
                </c:pt>
                <c:pt idx="54">
                  <c:v>1.2609999999999999</c:v>
                </c:pt>
                <c:pt idx="55">
                  <c:v>1.2649999999999999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7E-4869-AD6C-8240569AD650}"/>
            </c:ext>
          </c:extLst>
        </c:ser>
        <c:ser>
          <c:idx val="0"/>
          <c:order val="1"/>
          <c:tx>
            <c:v>Mean Male BMD + 2 SD</c:v>
          </c:tx>
          <c:spPr>
            <a:ln w="12700">
              <a:prstDash val="solid"/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Data'!$D$11:$D$66</c:f>
              <c:numCache>
                <c:formatCode>_-* #,##0.000_-;\-* #,##0.000_-;_-* "-"??_-;_-@_-</c:formatCode>
                <c:ptCount val="56"/>
                <c:pt idx="0">
                  <c:v>1.361</c:v>
                </c:pt>
                <c:pt idx="1">
                  <c:v>1.363</c:v>
                </c:pt>
                <c:pt idx="2">
                  <c:v>1.3640000000000001</c:v>
                </c:pt>
                <c:pt idx="3">
                  <c:v>1.3660000000000001</c:v>
                </c:pt>
                <c:pt idx="4">
                  <c:v>1.367</c:v>
                </c:pt>
                <c:pt idx="5">
                  <c:v>1.369</c:v>
                </c:pt>
                <c:pt idx="6">
                  <c:v>1.373</c:v>
                </c:pt>
                <c:pt idx="7">
                  <c:v>1.3740000000000001</c:v>
                </c:pt>
                <c:pt idx="8">
                  <c:v>1.3760000000000001</c:v>
                </c:pt>
                <c:pt idx="9">
                  <c:v>1.377</c:v>
                </c:pt>
                <c:pt idx="10">
                  <c:v>1.381</c:v>
                </c:pt>
                <c:pt idx="11">
                  <c:v>1.383</c:v>
                </c:pt>
                <c:pt idx="12">
                  <c:v>1.3860000000000001</c:v>
                </c:pt>
                <c:pt idx="13">
                  <c:v>1.3880000000000001</c:v>
                </c:pt>
                <c:pt idx="14">
                  <c:v>1.391</c:v>
                </c:pt>
                <c:pt idx="15">
                  <c:v>1.393</c:v>
                </c:pt>
                <c:pt idx="16">
                  <c:v>1.397</c:v>
                </c:pt>
                <c:pt idx="17">
                  <c:v>1.4</c:v>
                </c:pt>
                <c:pt idx="18">
                  <c:v>1.4039999999999999</c:v>
                </c:pt>
                <c:pt idx="19">
                  <c:v>1.405</c:v>
                </c:pt>
                <c:pt idx="20">
                  <c:v>1.409</c:v>
                </c:pt>
                <c:pt idx="21">
                  <c:v>1.413</c:v>
                </c:pt>
                <c:pt idx="22">
                  <c:v>1.4159999999999999</c:v>
                </c:pt>
                <c:pt idx="23">
                  <c:v>1.42</c:v>
                </c:pt>
                <c:pt idx="24">
                  <c:v>1.423</c:v>
                </c:pt>
                <c:pt idx="25">
                  <c:v>1.427</c:v>
                </c:pt>
                <c:pt idx="26">
                  <c:v>1.4330000000000001</c:v>
                </c:pt>
                <c:pt idx="27">
                  <c:v>1.4359999999999999</c:v>
                </c:pt>
                <c:pt idx="28">
                  <c:v>1.44</c:v>
                </c:pt>
                <c:pt idx="29">
                  <c:v>1.4450000000000001</c:v>
                </c:pt>
                <c:pt idx="30">
                  <c:v>1.4490000000000001</c:v>
                </c:pt>
                <c:pt idx="31">
                  <c:v>1.4530000000000001</c:v>
                </c:pt>
                <c:pt idx="32">
                  <c:v>1.458</c:v>
                </c:pt>
                <c:pt idx="33">
                  <c:v>1.462</c:v>
                </c:pt>
                <c:pt idx="34">
                  <c:v>1.4670000000000001</c:v>
                </c:pt>
                <c:pt idx="35">
                  <c:v>1.4730000000000001</c:v>
                </c:pt>
                <c:pt idx="36">
                  <c:v>1.4770000000000001</c:v>
                </c:pt>
                <c:pt idx="37">
                  <c:v>1.482</c:v>
                </c:pt>
                <c:pt idx="38">
                  <c:v>1.488</c:v>
                </c:pt>
                <c:pt idx="39">
                  <c:v>1.4910000000000001</c:v>
                </c:pt>
                <c:pt idx="40">
                  <c:v>1.4970000000000001</c:v>
                </c:pt>
                <c:pt idx="41">
                  <c:v>1.5030000000000001</c:v>
                </c:pt>
                <c:pt idx="42">
                  <c:v>1.508</c:v>
                </c:pt>
                <c:pt idx="43">
                  <c:v>1.514</c:v>
                </c:pt>
                <c:pt idx="44">
                  <c:v>1.5190000000000001</c:v>
                </c:pt>
                <c:pt idx="45">
                  <c:v>1.5250000000000001</c:v>
                </c:pt>
                <c:pt idx="46">
                  <c:v>1.5310000000000001</c:v>
                </c:pt>
                <c:pt idx="47">
                  <c:v>1.536</c:v>
                </c:pt>
                <c:pt idx="48">
                  <c:v>1.544</c:v>
                </c:pt>
                <c:pt idx="49">
                  <c:v>1.5490000000000002</c:v>
                </c:pt>
                <c:pt idx="50">
                  <c:v>1.5550000000000002</c:v>
                </c:pt>
                <c:pt idx="51">
                  <c:v>1.5609999999999999</c:v>
                </c:pt>
                <c:pt idx="52">
                  <c:v>1.5680000000000001</c:v>
                </c:pt>
                <c:pt idx="53">
                  <c:v>1.5740000000000001</c:v>
                </c:pt>
                <c:pt idx="54">
                  <c:v>1.579</c:v>
                </c:pt>
                <c:pt idx="55">
                  <c:v>1.587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7E-4869-AD6C-8240569AD650}"/>
            </c:ext>
          </c:extLst>
        </c:ser>
        <c:ser>
          <c:idx val="2"/>
          <c:order val="2"/>
          <c:tx>
            <c:v>Mean Male BMD - 2 SD</c:v>
          </c:tx>
          <c:spPr>
            <a:ln w="12700">
              <a:solidFill>
                <a:srgbClr val="4F81BD">
                  <a:shade val="95000"/>
                  <a:satMod val="105000"/>
                </a:srgbClr>
              </a:solidFill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Data'!$E$11:$E$66</c:f>
              <c:numCache>
                <c:formatCode>_-* #,##0.000_-;\-* #,##0.000_-;_-* "-"??_-;_-@_-</c:formatCode>
                <c:ptCount val="56"/>
                <c:pt idx="0">
                  <c:v>0.77299999999999991</c:v>
                </c:pt>
                <c:pt idx="1">
                  <c:v>0.77899999999999991</c:v>
                </c:pt>
                <c:pt idx="2">
                  <c:v>0.78400000000000003</c:v>
                </c:pt>
                <c:pt idx="3">
                  <c:v>0.79</c:v>
                </c:pt>
                <c:pt idx="4">
                  <c:v>0.79499999999999993</c:v>
                </c:pt>
                <c:pt idx="5">
                  <c:v>0.80099999999999993</c:v>
                </c:pt>
                <c:pt idx="6">
                  <c:v>0.80499999999999994</c:v>
                </c:pt>
                <c:pt idx="7">
                  <c:v>0.81</c:v>
                </c:pt>
                <c:pt idx="8">
                  <c:v>0.81600000000000006</c:v>
                </c:pt>
                <c:pt idx="9">
                  <c:v>0.82099999999999995</c:v>
                </c:pt>
                <c:pt idx="10">
                  <c:v>0.82499999999999996</c:v>
                </c:pt>
                <c:pt idx="11">
                  <c:v>0.83099999999999996</c:v>
                </c:pt>
                <c:pt idx="12">
                  <c:v>0.83400000000000007</c:v>
                </c:pt>
                <c:pt idx="13">
                  <c:v>0.84000000000000008</c:v>
                </c:pt>
                <c:pt idx="14">
                  <c:v>0.84299999999999997</c:v>
                </c:pt>
                <c:pt idx="15">
                  <c:v>0.84899999999999998</c:v>
                </c:pt>
                <c:pt idx="16">
                  <c:v>0.85299999999999998</c:v>
                </c:pt>
                <c:pt idx="17">
                  <c:v>0.85599999999999987</c:v>
                </c:pt>
                <c:pt idx="18">
                  <c:v>0.85999999999999988</c:v>
                </c:pt>
                <c:pt idx="19">
                  <c:v>0.86499999999999999</c:v>
                </c:pt>
                <c:pt idx="20">
                  <c:v>0.86899999999999999</c:v>
                </c:pt>
                <c:pt idx="21">
                  <c:v>0.873</c:v>
                </c:pt>
                <c:pt idx="22">
                  <c:v>0.87599999999999989</c:v>
                </c:pt>
                <c:pt idx="23">
                  <c:v>0.87999999999999989</c:v>
                </c:pt>
                <c:pt idx="24">
                  <c:v>0.88300000000000001</c:v>
                </c:pt>
                <c:pt idx="25">
                  <c:v>0.88700000000000001</c:v>
                </c:pt>
                <c:pt idx="26">
                  <c:v>0.88900000000000001</c:v>
                </c:pt>
                <c:pt idx="27">
                  <c:v>0.8919999999999999</c:v>
                </c:pt>
                <c:pt idx="28">
                  <c:v>0.89599999999999991</c:v>
                </c:pt>
                <c:pt idx="29">
                  <c:v>0.89700000000000002</c:v>
                </c:pt>
                <c:pt idx="30">
                  <c:v>0.90100000000000002</c:v>
                </c:pt>
                <c:pt idx="31">
                  <c:v>0.90500000000000003</c:v>
                </c:pt>
                <c:pt idx="32">
                  <c:v>0.90599999999999992</c:v>
                </c:pt>
                <c:pt idx="33">
                  <c:v>0.90999999999999992</c:v>
                </c:pt>
                <c:pt idx="34">
                  <c:v>0.91100000000000003</c:v>
                </c:pt>
                <c:pt idx="35">
                  <c:v>0.91300000000000003</c:v>
                </c:pt>
                <c:pt idx="36">
                  <c:v>0.91700000000000004</c:v>
                </c:pt>
                <c:pt idx="37">
                  <c:v>0.91799999999999993</c:v>
                </c:pt>
                <c:pt idx="38">
                  <c:v>0.91999999999999993</c:v>
                </c:pt>
                <c:pt idx="39">
                  <c:v>0.92300000000000004</c:v>
                </c:pt>
                <c:pt idx="40">
                  <c:v>0.92500000000000004</c:v>
                </c:pt>
                <c:pt idx="41">
                  <c:v>0.92700000000000005</c:v>
                </c:pt>
                <c:pt idx="42">
                  <c:v>0.92799999999999994</c:v>
                </c:pt>
                <c:pt idx="43">
                  <c:v>0.92999999999999994</c:v>
                </c:pt>
                <c:pt idx="44">
                  <c:v>0.93100000000000005</c:v>
                </c:pt>
                <c:pt idx="45">
                  <c:v>0.93300000000000005</c:v>
                </c:pt>
                <c:pt idx="46">
                  <c:v>0.93500000000000005</c:v>
                </c:pt>
                <c:pt idx="47">
                  <c:v>0.93599999999999994</c:v>
                </c:pt>
                <c:pt idx="48">
                  <c:v>0.93599999999999994</c:v>
                </c:pt>
                <c:pt idx="49">
                  <c:v>0.93700000000000006</c:v>
                </c:pt>
                <c:pt idx="50">
                  <c:v>0.93900000000000006</c:v>
                </c:pt>
                <c:pt idx="51">
                  <c:v>0.94099999999999984</c:v>
                </c:pt>
                <c:pt idx="52">
                  <c:v>0.94</c:v>
                </c:pt>
                <c:pt idx="53">
                  <c:v>0.94199999999999995</c:v>
                </c:pt>
                <c:pt idx="54">
                  <c:v>0.94299999999999984</c:v>
                </c:pt>
                <c:pt idx="55">
                  <c:v>0.94299999999999984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7E-4869-AD6C-8240569AD650}"/>
            </c:ext>
          </c:extLst>
        </c:ser>
        <c:ser>
          <c:idx val="3"/>
          <c:order val="3"/>
          <c:tx>
            <c:v>Sample Male BMD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Data'!$F$11:$F$66</c:f>
              <c:numCache>
                <c:formatCode>_-* #,##0.000_-;\-* #,##0.000_-;_-* "-"??_-;_-@_-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1.103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7E-4869-AD6C-8240569AD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87520"/>
        <c:axId val="72606080"/>
      </c:lineChart>
      <c:catAx>
        <c:axId val="72587520"/>
        <c:scaling>
          <c:orientation val="minMax"/>
          <c:max val="61"/>
          <c:min val="1"/>
        </c:scaling>
        <c:delete val="0"/>
        <c:axPos val="b"/>
        <c:numFmt formatCode="_-* #,##0_-;\-* #,##0_-;_-* &quot;-&quot;??_-;_-@_-" sourceLinked="1"/>
        <c:majorTickMark val="out"/>
        <c:minorTickMark val="none"/>
        <c:tickLblPos val="nextTo"/>
        <c:crossAx val="72606080"/>
        <c:crosses val="autoZero"/>
        <c:auto val="0"/>
        <c:lblAlgn val="ctr"/>
        <c:lblOffset val="100"/>
        <c:tickLblSkip val="5"/>
        <c:tickMarkSkip val="5"/>
        <c:noMultiLvlLbl val="0"/>
      </c:catAx>
      <c:valAx>
        <c:axId val="72606080"/>
        <c:scaling>
          <c:orientation val="minMax"/>
          <c:min val="0.1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72587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CA" sz="1400"/>
              <a:t>Age</a:t>
            </a:r>
            <a:r>
              <a:rPr lang="en-CA" sz="1400" baseline="0"/>
              <a:t> vs. </a:t>
            </a:r>
            <a:r>
              <a:rPr lang="en-CA" sz="1400"/>
              <a:t>BMD of Proximal Tibia - Males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Mean Male Tibiall BMD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Data'!$G$6:$G$66</c:f>
              <c:numCache>
                <c:formatCode>_-* #,##0.000_-;\-* #,##0.000_-;_-* "-"??_-;_-@_-</c:formatCode>
                <c:ptCount val="61"/>
                <c:pt idx="0">
                  <c:v>0.94699999999999995</c:v>
                </c:pt>
                <c:pt idx="1">
                  <c:v>0.94699999999999995</c:v>
                </c:pt>
                <c:pt idx="2">
                  <c:v>0.94699999999999995</c:v>
                </c:pt>
                <c:pt idx="3">
                  <c:v>0.94699999999999995</c:v>
                </c:pt>
                <c:pt idx="4">
                  <c:v>0.94699999999999995</c:v>
                </c:pt>
                <c:pt idx="5">
                  <c:v>0.94699999999999995</c:v>
                </c:pt>
                <c:pt idx="6">
                  <c:v>0.94699999999999995</c:v>
                </c:pt>
                <c:pt idx="7">
                  <c:v>0.94599999999999995</c:v>
                </c:pt>
                <c:pt idx="8">
                  <c:v>0.94599999999999995</c:v>
                </c:pt>
                <c:pt idx="9">
                  <c:v>0.94599999999999995</c:v>
                </c:pt>
                <c:pt idx="10">
                  <c:v>0.94599999999999995</c:v>
                </c:pt>
                <c:pt idx="11">
                  <c:v>0.94599999999999995</c:v>
                </c:pt>
                <c:pt idx="12">
                  <c:v>0.94599999999999995</c:v>
                </c:pt>
                <c:pt idx="13">
                  <c:v>0.94599999999999995</c:v>
                </c:pt>
                <c:pt idx="14">
                  <c:v>0.94599999999999995</c:v>
                </c:pt>
                <c:pt idx="15">
                  <c:v>0.94599999999999995</c:v>
                </c:pt>
                <c:pt idx="16">
                  <c:v>0.94599999999999995</c:v>
                </c:pt>
                <c:pt idx="17">
                  <c:v>0.94599999999999995</c:v>
                </c:pt>
                <c:pt idx="18">
                  <c:v>0.94599999999999995</c:v>
                </c:pt>
                <c:pt idx="19">
                  <c:v>0.94599999999999995</c:v>
                </c:pt>
                <c:pt idx="20">
                  <c:v>0.94599999999999995</c:v>
                </c:pt>
                <c:pt idx="21">
                  <c:v>0.94599999999999995</c:v>
                </c:pt>
                <c:pt idx="22">
                  <c:v>0.94599999999999995</c:v>
                </c:pt>
                <c:pt idx="23">
                  <c:v>0.94599999999999995</c:v>
                </c:pt>
                <c:pt idx="24">
                  <c:v>0.94599999999999995</c:v>
                </c:pt>
                <c:pt idx="25">
                  <c:v>0.94599999999999995</c:v>
                </c:pt>
                <c:pt idx="26">
                  <c:v>0.94599999999999995</c:v>
                </c:pt>
                <c:pt idx="27">
                  <c:v>0.94599999999999995</c:v>
                </c:pt>
                <c:pt idx="28">
                  <c:v>0.94599999999999995</c:v>
                </c:pt>
                <c:pt idx="29">
                  <c:v>0.94599999999999995</c:v>
                </c:pt>
                <c:pt idx="30">
                  <c:v>0.94599999999999995</c:v>
                </c:pt>
                <c:pt idx="31">
                  <c:v>0.94599999999999995</c:v>
                </c:pt>
                <c:pt idx="32">
                  <c:v>0.94599999999999995</c:v>
                </c:pt>
                <c:pt idx="33">
                  <c:v>0.94599999999999995</c:v>
                </c:pt>
                <c:pt idx="34">
                  <c:v>0.94599999999999995</c:v>
                </c:pt>
                <c:pt idx="35">
                  <c:v>0.94599999999999995</c:v>
                </c:pt>
                <c:pt idx="36">
                  <c:v>0.94599999999999995</c:v>
                </c:pt>
                <c:pt idx="37">
                  <c:v>0.94599999999999995</c:v>
                </c:pt>
                <c:pt idx="38">
                  <c:v>0.94599999999999995</c:v>
                </c:pt>
                <c:pt idx="39">
                  <c:v>0.94599999999999995</c:v>
                </c:pt>
                <c:pt idx="40">
                  <c:v>0.94599999999999995</c:v>
                </c:pt>
                <c:pt idx="41">
                  <c:v>0.94599999999999995</c:v>
                </c:pt>
                <c:pt idx="42">
                  <c:v>0.94599999999999995</c:v>
                </c:pt>
                <c:pt idx="43">
                  <c:v>0.94599999999999995</c:v>
                </c:pt>
                <c:pt idx="44">
                  <c:v>0.94599999999999995</c:v>
                </c:pt>
                <c:pt idx="45">
                  <c:v>0.94599999999999995</c:v>
                </c:pt>
                <c:pt idx="46">
                  <c:v>0.94599999999999995</c:v>
                </c:pt>
                <c:pt idx="47">
                  <c:v>0.94599999999999995</c:v>
                </c:pt>
                <c:pt idx="48">
                  <c:v>0.94599999999999995</c:v>
                </c:pt>
                <c:pt idx="49">
                  <c:v>0.94599999999999995</c:v>
                </c:pt>
                <c:pt idx="50">
                  <c:v>0.94599999999999995</c:v>
                </c:pt>
                <c:pt idx="51">
                  <c:v>0.94599999999999995</c:v>
                </c:pt>
                <c:pt idx="52">
                  <c:v>0.94599999999999995</c:v>
                </c:pt>
                <c:pt idx="53">
                  <c:v>0.94599999999999995</c:v>
                </c:pt>
                <c:pt idx="54">
                  <c:v>0.94599999999999995</c:v>
                </c:pt>
                <c:pt idx="55">
                  <c:v>0.94599999999999995</c:v>
                </c:pt>
                <c:pt idx="56">
                  <c:v>0.94599999999999995</c:v>
                </c:pt>
                <c:pt idx="57">
                  <c:v>0.94599999999999995</c:v>
                </c:pt>
                <c:pt idx="58">
                  <c:v>0.94599999999999995</c:v>
                </c:pt>
                <c:pt idx="59">
                  <c:v>0.94599999999999995</c:v>
                </c:pt>
                <c:pt idx="60">
                  <c:v>0.94599999999999995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4-4108-9FDE-C2EBE36CC6B5}"/>
            </c:ext>
          </c:extLst>
        </c:ser>
        <c:ser>
          <c:idx val="0"/>
          <c:order val="1"/>
          <c:tx>
            <c:v>Mean Male BMD + 2 SD</c:v>
          </c:tx>
          <c:spPr>
            <a:ln w="12700">
              <a:prstDash val="solid"/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Data'!$I$6:$I$66</c:f>
              <c:numCache>
                <c:formatCode>_-* #,##0.000_-;\-* #,##0.000_-;_-* "-"??_-;_-@_-</c:formatCode>
                <c:ptCount val="61"/>
                <c:pt idx="0">
                  <c:v>1.327</c:v>
                </c:pt>
                <c:pt idx="1">
                  <c:v>1.323</c:v>
                </c:pt>
                <c:pt idx="2">
                  <c:v>1.321</c:v>
                </c:pt>
                <c:pt idx="3">
                  <c:v>1.319</c:v>
                </c:pt>
                <c:pt idx="4">
                  <c:v>1.3149999999999999</c:v>
                </c:pt>
                <c:pt idx="5">
                  <c:v>1.3129999999999999</c:v>
                </c:pt>
                <c:pt idx="6">
                  <c:v>1.3109999999999999</c:v>
                </c:pt>
                <c:pt idx="7">
                  <c:v>1.3079999999999998</c:v>
                </c:pt>
                <c:pt idx="8">
                  <c:v>1.306</c:v>
                </c:pt>
                <c:pt idx="9">
                  <c:v>1.3039999999999998</c:v>
                </c:pt>
                <c:pt idx="10">
                  <c:v>1.302</c:v>
                </c:pt>
                <c:pt idx="11">
                  <c:v>1.2999999999999998</c:v>
                </c:pt>
                <c:pt idx="12">
                  <c:v>1.298</c:v>
                </c:pt>
                <c:pt idx="13">
                  <c:v>1.2959999999999998</c:v>
                </c:pt>
                <c:pt idx="14">
                  <c:v>1.294</c:v>
                </c:pt>
                <c:pt idx="15">
                  <c:v>1.2919999999999998</c:v>
                </c:pt>
                <c:pt idx="16">
                  <c:v>1.2919999999999998</c:v>
                </c:pt>
                <c:pt idx="17">
                  <c:v>1.29</c:v>
                </c:pt>
                <c:pt idx="18">
                  <c:v>1.288</c:v>
                </c:pt>
                <c:pt idx="19">
                  <c:v>1.288</c:v>
                </c:pt>
                <c:pt idx="20">
                  <c:v>1.286</c:v>
                </c:pt>
                <c:pt idx="21">
                  <c:v>1.286</c:v>
                </c:pt>
                <c:pt idx="22">
                  <c:v>1.286</c:v>
                </c:pt>
                <c:pt idx="23">
                  <c:v>1.284</c:v>
                </c:pt>
                <c:pt idx="24">
                  <c:v>1.284</c:v>
                </c:pt>
                <c:pt idx="25">
                  <c:v>1.284</c:v>
                </c:pt>
                <c:pt idx="26">
                  <c:v>1.284</c:v>
                </c:pt>
                <c:pt idx="27">
                  <c:v>1.284</c:v>
                </c:pt>
                <c:pt idx="28">
                  <c:v>1.284</c:v>
                </c:pt>
                <c:pt idx="29">
                  <c:v>1.284</c:v>
                </c:pt>
                <c:pt idx="30">
                  <c:v>1.284</c:v>
                </c:pt>
                <c:pt idx="31">
                  <c:v>1.284</c:v>
                </c:pt>
                <c:pt idx="32">
                  <c:v>1.286</c:v>
                </c:pt>
                <c:pt idx="33">
                  <c:v>1.286</c:v>
                </c:pt>
                <c:pt idx="34">
                  <c:v>1.286</c:v>
                </c:pt>
                <c:pt idx="35">
                  <c:v>1.288</c:v>
                </c:pt>
                <c:pt idx="36">
                  <c:v>1.288</c:v>
                </c:pt>
                <c:pt idx="37">
                  <c:v>1.29</c:v>
                </c:pt>
                <c:pt idx="38">
                  <c:v>1.29</c:v>
                </c:pt>
                <c:pt idx="39">
                  <c:v>1.2919999999999998</c:v>
                </c:pt>
                <c:pt idx="40">
                  <c:v>1.294</c:v>
                </c:pt>
                <c:pt idx="41">
                  <c:v>1.2959999999999998</c:v>
                </c:pt>
                <c:pt idx="42">
                  <c:v>1.2959999999999998</c:v>
                </c:pt>
                <c:pt idx="43">
                  <c:v>1.298</c:v>
                </c:pt>
                <c:pt idx="44">
                  <c:v>1.2999999999999998</c:v>
                </c:pt>
                <c:pt idx="45">
                  <c:v>1.302</c:v>
                </c:pt>
                <c:pt idx="46">
                  <c:v>1.3039999999999998</c:v>
                </c:pt>
                <c:pt idx="47">
                  <c:v>1.306</c:v>
                </c:pt>
                <c:pt idx="48">
                  <c:v>1.3079999999999998</c:v>
                </c:pt>
                <c:pt idx="49">
                  <c:v>1.3119999999999998</c:v>
                </c:pt>
                <c:pt idx="50">
                  <c:v>1.3140000000000001</c:v>
                </c:pt>
                <c:pt idx="51">
                  <c:v>1.3159999999999998</c:v>
                </c:pt>
                <c:pt idx="52">
                  <c:v>1.3180000000000001</c:v>
                </c:pt>
                <c:pt idx="53">
                  <c:v>1.3220000000000001</c:v>
                </c:pt>
                <c:pt idx="54">
                  <c:v>1.3239999999999998</c:v>
                </c:pt>
                <c:pt idx="55">
                  <c:v>1.3279999999999998</c:v>
                </c:pt>
                <c:pt idx="56">
                  <c:v>1.33</c:v>
                </c:pt>
                <c:pt idx="57">
                  <c:v>1.3340000000000001</c:v>
                </c:pt>
                <c:pt idx="58">
                  <c:v>1.3359999999999999</c:v>
                </c:pt>
                <c:pt idx="59">
                  <c:v>1.3399999999999999</c:v>
                </c:pt>
                <c:pt idx="60">
                  <c:v>1.3439999999999999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4-4108-9FDE-C2EBE36CC6B5}"/>
            </c:ext>
          </c:extLst>
        </c:ser>
        <c:ser>
          <c:idx val="2"/>
          <c:order val="2"/>
          <c:tx>
            <c:v>Mean Male BMD - 2 SD</c:v>
          </c:tx>
          <c:spPr>
            <a:ln w="12700">
              <a:solidFill>
                <a:srgbClr val="4F81BD">
                  <a:shade val="95000"/>
                  <a:satMod val="105000"/>
                </a:srgbClr>
              </a:solidFill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Data'!$J$6:$J$66</c:f>
              <c:numCache>
                <c:formatCode>_-* #,##0.000_-;\-* #,##0.000_-;_-* "-"??_-;_-@_-</c:formatCode>
                <c:ptCount val="61"/>
                <c:pt idx="0">
                  <c:v>0.56699999999999995</c:v>
                </c:pt>
                <c:pt idx="1">
                  <c:v>0.57099999999999995</c:v>
                </c:pt>
                <c:pt idx="2">
                  <c:v>0.57299999999999995</c:v>
                </c:pt>
                <c:pt idx="3">
                  <c:v>0.57499999999999996</c:v>
                </c:pt>
                <c:pt idx="4">
                  <c:v>0.57899999999999996</c:v>
                </c:pt>
                <c:pt idx="5">
                  <c:v>0.58099999999999996</c:v>
                </c:pt>
                <c:pt idx="6">
                  <c:v>0.58299999999999996</c:v>
                </c:pt>
                <c:pt idx="7">
                  <c:v>0.58399999999999996</c:v>
                </c:pt>
                <c:pt idx="8">
                  <c:v>0.58599999999999997</c:v>
                </c:pt>
                <c:pt idx="9">
                  <c:v>0.58799999999999997</c:v>
                </c:pt>
                <c:pt idx="10">
                  <c:v>0.59</c:v>
                </c:pt>
                <c:pt idx="11">
                  <c:v>0.59199999999999997</c:v>
                </c:pt>
                <c:pt idx="12">
                  <c:v>0.59399999999999997</c:v>
                </c:pt>
                <c:pt idx="13">
                  <c:v>0.59599999999999997</c:v>
                </c:pt>
                <c:pt idx="14">
                  <c:v>0.59799999999999998</c:v>
                </c:pt>
                <c:pt idx="15">
                  <c:v>0.6</c:v>
                </c:pt>
                <c:pt idx="16">
                  <c:v>0.6</c:v>
                </c:pt>
                <c:pt idx="17">
                  <c:v>0.60199999999999998</c:v>
                </c:pt>
                <c:pt idx="18">
                  <c:v>0.60399999999999987</c:v>
                </c:pt>
                <c:pt idx="19">
                  <c:v>0.60399999999999987</c:v>
                </c:pt>
                <c:pt idx="20">
                  <c:v>0.60599999999999987</c:v>
                </c:pt>
                <c:pt idx="21">
                  <c:v>0.60599999999999987</c:v>
                </c:pt>
                <c:pt idx="22">
                  <c:v>0.60599999999999987</c:v>
                </c:pt>
                <c:pt idx="23">
                  <c:v>0.60799999999999987</c:v>
                </c:pt>
                <c:pt idx="24">
                  <c:v>0.60799999999999987</c:v>
                </c:pt>
                <c:pt idx="25">
                  <c:v>0.60799999999999987</c:v>
                </c:pt>
                <c:pt idx="26">
                  <c:v>0.60799999999999987</c:v>
                </c:pt>
                <c:pt idx="27">
                  <c:v>0.60799999999999987</c:v>
                </c:pt>
                <c:pt idx="28">
                  <c:v>0.60799999999999987</c:v>
                </c:pt>
                <c:pt idx="29">
                  <c:v>0.60799999999999987</c:v>
                </c:pt>
                <c:pt idx="30">
                  <c:v>0.60799999999999987</c:v>
                </c:pt>
                <c:pt idx="31">
                  <c:v>0.60799999999999987</c:v>
                </c:pt>
                <c:pt idx="32">
                  <c:v>0.60599999999999987</c:v>
                </c:pt>
                <c:pt idx="33">
                  <c:v>0.60599999999999987</c:v>
                </c:pt>
                <c:pt idx="34">
                  <c:v>0.60599999999999987</c:v>
                </c:pt>
                <c:pt idx="35">
                  <c:v>0.60399999999999987</c:v>
                </c:pt>
                <c:pt idx="36">
                  <c:v>0.60399999999999987</c:v>
                </c:pt>
                <c:pt idx="37">
                  <c:v>0.60199999999999998</c:v>
                </c:pt>
                <c:pt idx="38">
                  <c:v>0.60199999999999998</c:v>
                </c:pt>
                <c:pt idx="39">
                  <c:v>0.6</c:v>
                </c:pt>
                <c:pt idx="40">
                  <c:v>0.59799999999999998</c:v>
                </c:pt>
                <c:pt idx="41">
                  <c:v>0.59599999999999997</c:v>
                </c:pt>
                <c:pt idx="42">
                  <c:v>0.59599999999999997</c:v>
                </c:pt>
                <c:pt idx="43">
                  <c:v>0.59399999999999997</c:v>
                </c:pt>
                <c:pt idx="44">
                  <c:v>0.59199999999999997</c:v>
                </c:pt>
                <c:pt idx="45">
                  <c:v>0.59</c:v>
                </c:pt>
                <c:pt idx="46">
                  <c:v>0.58799999999999997</c:v>
                </c:pt>
                <c:pt idx="47">
                  <c:v>0.58599999999999997</c:v>
                </c:pt>
                <c:pt idx="48">
                  <c:v>0.58399999999999996</c:v>
                </c:pt>
                <c:pt idx="49">
                  <c:v>0.57999999999999996</c:v>
                </c:pt>
                <c:pt idx="50">
                  <c:v>0.57799999999999996</c:v>
                </c:pt>
                <c:pt idx="51">
                  <c:v>0.57599999999999996</c:v>
                </c:pt>
                <c:pt idx="52">
                  <c:v>0.57399999999999995</c:v>
                </c:pt>
                <c:pt idx="53">
                  <c:v>0.56999999999999995</c:v>
                </c:pt>
                <c:pt idx="54">
                  <c:v>0.56799999999999995</c:v>
                </c:pt>
                <c:pt idx="55">
                  <c:v>0.56399999999999995</c:v>
                </c:pt>
                <c:pt idx="56">
                  <c:v>0.56199999999999994</c:v>
                </c:pt>
                <c:pt idx="57">
                  <c:v>0.55799999999999994</c:v>
                </c:pt>
                <c:pt idx="58">
                  <c:v>0.55599999999999994</c:v>
                </c:pt>
                <c:pt idx="59">
                  <c:v>0.55199999999999994</c:v>
                </c:pt>
                <c:pt idx="60">
                  <c:v>0.54799999999999993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04-4108-9FDE-C2EBE36CC6B5}"/>
            </c:ext>
          </c:extLst>
        </c:ser>
        <c:ser>
          <c:idx val="3"/>
          <c:order val="3"/>
          <c:tx>
            <c:v>Sample Male BMD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Data'!$K$11:$K$66</c:f>
              <c:numCache>
                <c:formatCode>_-* #,##0.000_-;\-* #,##0.000_-;_-* "-"??_-;_-@_-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0.94599999999999995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04-4108-9FDE-C2EBE36CC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409856"/>
        <c:axId val="74420224"/>
      </c:lineChart>
      <c:catAx>
        <c:axId val="74409856"/>
        <c:scaling>
          <c:orientation val="minMax"/>
          <c:max val="61"/>
          <c:min val="1"/>
        </c:scaling>
        <c:delete val="0"/>
        <c:axPos val="b"/>
        <c:numFmt formatCode="_-* #,##0_-;\-* #,##0_-;_-* &quot;-&quot;??_-;_-@_-" sourceLinked="1"/>
        <c:majorTickMark val="out"/>
        <c:minorTickMark val="none"/>
        <c:tickLblPos val="nextTo"/>
        <c:crossAx val="74420224"/>
        <c:crosses val="autoZero"/>
        <c:auto val="0"/>
        <c:lblAlgn val="ctr"/>
        <c:lblOffset val="100"/>
        <c:tickLblSkip val="5"/>
        <c:tickMarkSkip val="5"/>
        <c:noMultiLvlLbl val="0"/>
      </c:catAx>
      <c:valAx>
        <c:axId val="74420224"/>
        <c:scaling>
          <c:orientation val="minMax"/>
          <c:min val="0.1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74409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CA" sz="1400"/>
              <a:t>Age vs. BMD of Distal Femur - Females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Mean Female Femoral BMD</c:v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Data'!$L$11:$L$66</c:f>
              <c:numCache>
                <c:formatCode>_-* #,##0.000_-;\-* #,##0.000_-;_-* "-"??_-;_-@_-</c:formatCode>
                <c:ptCount val="56"/>
                <c:pt idx="0">
                  <c:v>1.024</c:v>
                </c:pt>
                <c:pt idx="1">
                  <c:v>1.024</c:v>
                </c:pt>
                <c:pt idx="2">
                  <c:v>1.0249999999999999</c:v>
                </c:pt>
                <c:pt idx="3">
                  <c:v>1.0249999999999999</c:v>
                </c:pt>
                <c:pt idx="4">
                  <c:v>1.026</c:v>
                </c:pt>
                <c:pt idx="5">
                  <c:v>1.026</c:v>
                </c:pt>
                <c:pt idx="6">
                  <c:v>1.026</c:v>
                </c:pt>
                <c:pt idx="7">
                  <c:v>1.0269999999999999</c:v>
                </c:pt>
                <c:pt idx="8">
                  <c:v>1.0269999999999999</c:v>
                </c:pt>
                <c:pt idx="9">
                  <c:v>1.0269999999999999</c:v>
                </c:pt>
                <c:pt idx="10">
                  <c:v>1.028</c:v>
                </c:pt>
                <c:pt idx="11">
                  <c:v>1.028</c:v>
                </c:pt>
                <c:pt idx="12">
                  <c:v>1.0289999999999999</c:v>
                </c:pt>
                <c:pt idx="13">
                  <c:v>1.0289999999999999</c:v>
                </c:pt>
                <c:pt idx="14">
                  <c:v>1.0289999999999999</c:v>
                </c:pt>
                <c:pt idx="15">
                  <c:v>1.03</c:v>
                </c:pt>
                <c:pt idx="16">
                  <c:v>1.03</c:v>
                </c:pt>
                <c:pt idx="17">
                  <c:v>1.0309999999999999</c:v>
                </c:pt>
                <c:pt idx="18">
                  <c:v>1.0309999999999999</c:v>
                </c:pt>
                <c:pt idx="19">
                  <c:v>1.0309999999999999</c:v>
                </c:pt>
                <c:pt idx="20">
                  <c:v>1.032</c:v>
                </c:pt>
                <c:pt idx="21">
                  <c:v>1.032</c:v>
                </c:pt>
                <c:pt idx="22">
                  <c:v>1.0329999999999999</c:v>
                </c:pt>
                <c:pt idx="23">
                  <c:v>1.0329999999999999</c:v>
                </c:pt>
                <c:pt idx="24">
                  <c:v>1.0329999999999999</c:v>
                </c:pt>
                <c:pt idx="25">
                  <c:v>1.034</c:v>
                </c:pt>
                <c:pt idx="26">
                  <c:v>1.034</c:v>
                </c:pt>
                <c:pt idx="27">
                  <c:v>1.0349999999999999</c:v>
                </c:pt>
                <c:pt idx="28">
                  <c:v>1.0349999999999999</c:v>
                </c:pt>
                <c:pt idx="29">
                  <c:v>1.0349999999999999</c:v>
                </c:pt>
                <c:pt idx="30">
                  <c:v>1.036</c:v>
                </c:pt>
                <c:pt idx="31">
                  <c:v>1.036</c:v>
                </c:pt>
                <c:pt idx="32">
                  <c:v>1.0369999999999999</c:v>
                </c:pt>
                <c:pt idx="33">
                  <c:v>1.0369999999999999</c:v>
                </c:pt>
                <c:pt idx="34">
                  <c:v>1.0369999999999999</c:v>
                </c:pt>
                <c:pt idx="35">
                  <c:v>1.038</c:v>
                </c:pt>
                <c:pt idx="36">
                  <c:v>1.038</c:v>
                </c:pt>
                <c:pt idx="37">
                  <c:v>1.0389999999999999</c:v>
                </c:pt>
                <c:pt idx="38">
                  <c:v>1.0389999999999999</c:v>
                </c:pt>
                <c:pt idx="39">
                  <c:v>1.0389999999999999</c:v>
                </c:pt>
                <c:pt idx="40">
                  <c:v>1.04</c:v>
                </c:pt>
                <c:pt idx="41">
                  <c:v>1.04</c:v>
                </c:pt>
                <c:pt idx="42">
                  <c:v>1.0409999999999999</c:v>
                </c:pt>
                <c:pt idx="43">
                  <c:v>1.0409999999999999</c:v>
                </c:pt>
                <c:pt idx="44">
                  <c:v>1.0409999999999999</c:v>
                </c:pt>
                <c:pt idx="45">
                  <c:v>1.042</c:v>
                </c:pt>
                <c:pt idx="46">
                  <c:v>1.042</c:v>
                </c:pt>
                <c:pt idx="47">
                  <c:v>1.042</c:v>
                </c:pt>
                <c:pt idx="48">
                  <c:v>1.0429999999999999</c:v>
                </c:pt>
                <c:pt idx="49">
                  <c:v>1.0429999999999999</c:v>
                </c:pt>
                <c:pt idx="50">
                  <c:v>1.044</c:v>
                </c:pt>
                <c:pt idx="51">
                  <c:v>1.044</c:v>
                </c:pt>
                <c:pt idx="52">
                  <c:v>1.044</c:v>
                </c:pt>
                <c:pt idx="53">
                  <c:v>1.0449999999999999</c:v>
                </c:pt>
                <c:pt idx="54">
                  <c:v>1.0449999999999999</c:v>
                </c:pt>
                <c:pt idx="55">
                  <c:v>1.046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B-4FC5-982F-09B5296EF70C}"/>
            </c:ext>
          </c:extLst>
        </c:ser>
        <c:ser>
          <c:idx val="0"/>
          <c:order val="1"/>
          <c:tx>
            <c:v>Mean Female BMD + 2 SD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Data'!$N$11:$N$66</c:f>
              <c:numCache>
                <c:formatCode>_-* #,##0.000_-;\-* #,##0.000_-;_-* "-"??_-;_-@_-</c:formatCode>
                <c:ptCount val="56"/>
                <c:pt idx="0">
                  <c:v>1.266</c:v>
                </c:pt>
                <c:pt idx="1">
                  <c:v>1.264</c:v>
                </c:pt>
                <c:pt idx="2">
                  <c:v>1.2649999999999999</c:v>
                </c:pt>
                <c:pt idx="3">
                  <c:v>1.2629999999999999</c:v>
                </c:pt>
                <c:pt idx="4">
                  <c:v>1.264</c:v>
                </c:pt>
                <c:pt idx="5">
                  <c:v>1.262</c:v>
                </c:pt>
                <c:pt idx="6">
                  <c:v>1.262</c:v>
                </c:pt>
                <c:pt idx="7">
                  <c:v>1.2609999999999999</c:v>
                </c:pt>
                <c:pt idx="8">
                  <c:v>1.2609999999999999</c:v>
                </c:pt>
                <c:pt idx="9">
                  <c:v>1.2609999999999999</c:v>
                </c:pt>
                <c:pt idx="10">
                  <c:v>1.26</c:v>
                </c:pt>
                <c:pt idx="11">
                  <c:v>1.26</c:v>
                </c:pt>
                <c:pt idx="12">
                  <c:v>1.2609999999999999</c:v>
                </c:pt>
                <c:pt idx="13">
                  <c:v>1.2589999999999999</c:v>
                </c:pt>
                <c:pt idx="14">
                  <c:v>1.2589999999999999</c:v>
                </c:pt>
                <c:pt idx="15">
                  <c:v>1.26</c:v>
                </c:pt>
                <c:pt idx="16">
                  <c:v>1.26</c:v>
                </c:pt>
                <c:pt idx="17">
                  <c:v>1.2589999999999999</c:v>
                </c:pt>
                <c:pt idx="18">
                  <c:v>1.2589999999999999</c:v>
                </c:pt>
                <c:pt idx="19">
                  <c:v>1.2589999999999999</c:v>
                </c:pt>
                <c:pt idx="20">
                  <c:v>1.26</c:v>
                </c:pt>
                <c:pt idx="21">
                  <c:v>1.26</c:v>
                </c:pt>
                <c:pt idx="22">
                  <c:v>1.2609999999999999</c:v>
                </c:pt>
                <c:pt idx="23">
                  <c:v>1.2609999999999999</c:v>
                </c:pt>
                <c:pt idx="24">
                  <c:v>1.2609999999999999</c:v>
                </c:pt>
                <c:pt idx="25">
                  <c:v>1.262</c:v>
                </c:pt>
                <c:pt idx="26">
                  <c:v>1.262</c:v>
                </c:pt>
                <c:pt idx="27">
                  <c:v>1.2629999999999999</c:v>
                </c:pt>
                <c:pt idx="28">
                  <c:v>1.2629999999999999</c:v>
                </c:pt>
                <c:pt idx="29">
                  <c:v>1.2629999999999999</c:v>
                </c:pt>
                <c:pt idx="30">
                  <c:v>1.264</c:v>
                </c:pt>
                <c:pt idx="31">
                  <c:v>1.264</c:v>
                </c:pt>
                <c:pt idx="32">
                  <c:v>1.2649999999999999</c:v>
                </c:pt>
                <c:pt idx="33">
                  <c:v>1.2649999999999999</c:v>
                </c:pt>
                <c:pt idx="34">
                  <c:v>1.2669999999999999</c:v>
                </c:pt>
                <c:pt idx="35">
                  <c:v>1.268</c:v>
                </c:pt>
                <c:pt idx="36">
                  <c:v>1.268</c:v>
                </c:pt>
                <c:pt idx="37">
                  <c:v>1.2689999999999999</c:v>
                </c:pt>
                <c:pt idx="38">
                  <c:v>1.2709999999999999</c:v>
                </c:pt>
                <c:pt idx="39">
                  <c:v>1.2709999999999999</c:v>
                </c:pt>
                <c:pt idx="40">
                  <c:v>1.272</c:v>
                </c:pt>
                <c:pt idx="41">
                  <c:v>1.274</c:v>
                </c:pt>
                <c:pt idx="42">
                  <c:v>1.2749999999999999</c:v>
                </c:pt>
                <c:pt idx="43">
                  <c:v>1.2769999999999999</c:v>
                </c:pt>
                <c:pt idx="44">
                  <c:v>1.2769999999999999</c:v>
                </c:pt>
                <c:pt idx="45">
                  <c:v>1.278</c:v>
                </c:pt>
                <c:pt idx="46">
                  <c:v>1.28</c:v>
                </c:pt>
                <c:pt idx="47">
                  <c:v>1.28</c:v>
                </c:pt>
                <c:pt idx="48">
                  <c:v>1.2829999999999999</c:v>
                </c:pt>
                <c:pt idx="49">
                  <c:v>1.2829999999999999</c:v>
                </c:pt>
                <c:pt idx="50">
                  <c:v>1.286</c:v>
                </c:pt>
                <c:pt idx="51">
                  <c:v>1.288</c:v>
                </c:pt>
                <c:pt idx="52">
                  <c:v>1.288</c:v>
                </c:pt>
                <c:pt idx="53">
                  <c:v>1.2909999999999999</c:v>
                </c:pt>
                <c:pt idx="54">
                  <c:v>1.2909999999999999</c:v>
                </c:pt>
                <c:pt idx="55">
                  <c:v>1.294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B-4FC5-982F-09B5296EF70C}"/>
            </c:ext>
          </c:extLst>
        </c:ser>
        <c:ser>
          <c:idx val="2"/>
          <c:order val="2"/>
          <c:tx>
            <c:v>Mean Female BMD - 2 SD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Data'!$O$11:$O$66</c:f>
              <c:numCache>
                <c:formatCode>_-* #,##0.000_-;\-* #,##0.000_-;_-* "-"??_-;_-@_-</c:formatCode>
                <c:ptCount val="56"/>
                <c:pt idx="0">
                  <c:v>0.78200000000000003</c:v>
                </c:pt>
                <c:pt idx="1">
                  <c:v>0.78400000000000003</c:v>
                </c:pt>
                <c:pt idx="2">
                  <c:v>0.78499999999999992</c:v>
                </c:pt>
                <c:pt idx="3">
                  <c:v>0.78699999999999992</c:v>
                </c:pt>
                <c:pt idx="4">
                  <c:v>0.78800000000000003</c:v>
                </c:pt>
                <c:pt idx="5">
                  <c:v>0.79</c:v>
                </c:pt>
                <c:pt idx="6">
                  <c:v>0.79</c:v>
                </c:pt>
                <c:pt idx="7">
                  <c:v>0.79299999999999993</c:v>
                </c:pt>
                <c:pt idx="8">
                  <c:v>0.79299999999999993</c:v>
                </c:pt>
                <c:pt idx="9">
                  <c:v>0.79299999999999993</c:v>
                </c:pt>
                <c:pt idx="10">
                  <c:v>0.79600000000000004</c:v>
                </c:pt>
                <c:pt idx="11">
                  <c:v>0.79600000000000004</c:v>
                </c:pt>
                <c:pt idx="12">
                  <c:v>0.79699999999999993</c:v>
                </c:pt>
                <c:pt idx="13">
                  <c:v>0.79899999999999993</c:v>
                </c:pt>
                <c:pt idx="14">
                  <c:v>0.79899999999999993</c:v>
                </c:pt>
                <c:pt idx="15">
                  <c:v>0.8</c:v>
                </c:pt>
                <c:pt idx="16">
                  <c:v>0.8</c:v>
                </c:pt>
                <c:pt idx="17">
                  <c:v>0.80299999999999994</c:v>
                </c:pt>
                <c:pt idx="18">
                  <c:v>0.80299999999999994</c:v>
                </c:pt>
                <c:pt idx="19">
                  <c:v>0.80299999999999994</c:v>
                </c:pt>
                <c:pt idx="20">
                  <c:v>0.80400000000000005</c:v>
                </c:pt>
                <c:pt idx="21">
                  <c:v>0.80400000000000005</c:v>
                </c:pt>
                <c:pt idx="22">
                  <c:v>0.80499999999999994</c:v>
                </c:pt>
                <c:pt idx="23">
                  <c:v>0.80499999999999994</c:v>
                </c:pt>
                <c:pt idx="24">
                  <c:v>0.80499999999999994</c:v>
                </c:pt>
                <c:pt idx="25">
                  <c:v>0.80600000000000005</c:v>
                </c:pt>
                <c:pt idx="26">
                  <c:v>0.80600000000000005</c:v>
                </c:pt>
                <c:pt idx="27">
                  <c:v>0.80699999999999994</c:v>
                </c:pt>
                <c:pt idx="28">
                  <c:v>0.80699999999999994</c:v>
                </c:pt>
                <c:pt idx="29">
                  <c:v>0.80699999999999994</c:v>
                </c:pt>
                <c:pt idx="30">
                  <c:v>0.80800000000000005</c:v>
                </c:pt>
                <c:pt idx="31">
                  <c:v>0.80800000000000005</c:v>
                </c:pt>
                <c:pt idx="32">
                  <c:v>0.80899999999999994</c:v>
                </c:pt>
                <c:pt idx="33">
                  <c:v>0.80899999999999994</c:v>
                </c:pt>
                <c:pt idx="34">
                  <c:v>0.80699999999999994</c:v>
                </c:pt>
                <c:pt idx="35">
                  <c:v>0.80800000000000005</c:v>
                </c:pt>
                <c:pt idx="36">
                  <c:v>0.80800000000000005</c:v>
                </c:pt>
                <c:pt idx="37">
                  <c:v>0.80899999999999994</c:v>
                </c:pt>
                <c:pt idx="38">
                  <c:v>0.80699999999999994</c:v>
                </c:pt>
                <c:pt idx="39">
                  <c:v>0.80699999999999994</c:v>
                </c:pt>
                <c:pt idx="40">
                  <c:v>0.80800000000000005</c:v>
                </c:pt>
                <c:pt idx="41">
                  <c:v>0.80600000000000005</c:v>
                </c:pt>
                <c:pt idx="42">
                  <c:v>0.80699999999999994</c:v>
                </c:pt>
                <c:pt idx="43">
                  <c:v>0.80499999999999994</c:v>
                </c:pt>
                <c:pt idx="44">
                  <c:v>0.80499999999999994</c:v>
                </c:pt>
                <c:pt idx="45">
                  <c:v>0.80600000000000005</c:v>
                </c:pt>
                <c:pt idx="46">
                  <c:v>0.80400000000000005</c:v>
                </c:pt>
                <c:pt idx="47">
                  <c:v>0.80400000000000005</c:v>
                </c:pt>
                <c:pt idx="48">
                  <c:v>0.80299999999999994</c:v>
                </c:pt>
                <c:pt idx="49">
                  <c:v>0.80299999999999994</c:v>
                </c:pt>
                <c:pt idx="50">
                  <c:v>0.80200000000000005</c:v>
                </c:pt>
                <c:pt idx="51">
                  <c:v>0.8</c:v>
                </c:pt>
                <c:pt idx="52">
                  <c:v>0.8</c:v>
                </c:pt>
                <c:pt idx="53">
                  <c:v>0.79899999999999993</c:v>
                </c:pt>
                <c:pt idx="54">
                  <c:v>0.79899999999999993</c:v>
                </c:pt>
                <c:pt idx="55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4B-4FC5-982F-09B5296EF70C}"/>
            </c:ext>
          </c:extLst>
        </c:ser>
        <c:ser>
          <c:idx val="3"/>
          <c:order val="3"/>
          <c:tx>
            <c:v>Sample Female BMD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</a:ln>
            </c:spPr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Data'!$P$11:$P$66</c:f>
              <c:numCache>
                <c:formatCode>_-* #,##0.000_-;\-* #,##0.000_-;_-* "-"??_-;_-@_-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1.028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4B-4FC5-982F-09B5296EF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512256"/>
        <c:axId val="78974976"/>
      </c:lineChart>
      <c:catAx>
        <c:axId val="74512256"/>
        <c:scaling>
          <c:orientation val="minMax"/>
          <c:max val="61"/>
          <c:min val="1"/>
        </c:scaling>
        <c:delete val="0"/>
        <c:axPos val="b"/>
        <c:numFmt formatCode="_-* #,##0_-;\-* #,##0_-;_-* &quot;-&quot;??_-;_-@_-" sourceLinked="1"/>
        <c:majorTickMark val="out"/>
        <c:minorTickMark val="none"/>
        <c:tickLblPos val="nextTo"/>
        <c:crossAx val="78974976"/>
        <c:crosses val="autoZero"/>
        <c:auto val="0"/>
        <c:lblAlgn val="ctr"/>
        <c:lblOffset val="100"/>
        <c:tickLblSkip val="5"/>
        <c:tickMarkSkip val="5"/>
        <c:noMultiLvlLbl val="0"/>
      </c:catAx>
      <c:valAx>
        <c:axId val="78974976"/>
        <c:scaling>
          <c:orientation val="minMax"/>
          <c:min val="0.1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74512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CA" sz="1400"/>
              <a:t>Age</a:t>
            </a:r>
            <a:r>
              <a:rPr lang="en-CA" sz="1400" baseline="0"/>
              <a:t> vs. </a:t>
            </a:r>
            <a:r>
              <a:rPr lang="en-CA" sz="1400"/>
              <a:t>BMD of Proximal Tibia - Females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Mean Female Tibial BMD</c:v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Data'!$Q$6:$Q$66</c:f>
              <c:numCache>
                <c:formatCode>_-* #,##0.000_-;\-* #,##0.000_-;_-* "-"??_-;_-@_-</c:formatCode>
                <c:ptCount val="61"/>
                <c:pt idx="0">
                  <c:v>0.97399999999999998</c:v>
                </c:pt>
                <c:pt idx="1">
                  <c:v>0.97199999999999998</c:v>
                </c:pt>
                <c:pt idx="2">
                  <c:v>0.96899999999999997</c:v>
                </c:pt>
                <c:pt idx="3">
                  <c:v>0.96699999999999997</c:v>
                </c:pt>
                <c:pt idx="4">
                  <c:v>0.96399999999999997</c:v>
                </c:pt>
                <c:pt idx="5">
                  <c:v>0.96199999999999997</c:v>
                </c:pt>
                <c:pt idx="6">
                  <c:v>0.95899999999999996</c:v>
                </c:pt>
                <c:pt idx="7">
                  <c:v>0.95699999999999996</c:v>
                </c:pt>
                <c:pt idx="8">
                  <c:v>0.95399999999999996</c:v>
                </c:pt>
                <c:pt idx="9">
                  <c:v>0.95199999999999996</c:v>
                </c:pt>
                <c:pt idx="10">
                  <c:v>0.95</c:v>
                </c:pt>
                <c:pt idx="11">
                  <c:v>0.94699999999999995</c:v>
                </c:pt>
                <c:pt idx="12">
                  <c:v>0.94499999999999995</c:v>
                </c:pt>
                <c:pt idx="13">
                  <c:v>0.94199999999999995</c:v>
                </c:pt>
                <c:pt idx="14">
                  <c:v>0.94</c:v>
                </c:pt>
                <c:pt idx="15">
                  <c:v>0.93700000000000006</c:v>
                </c:pt>
                <c:pt idx="16">
                  <c:v>0.93500000000000005</c:v>
                </c:pt>
                <c:pt idx="17">
                  <c:v>0.93200000000000005</c:v>
                </c:pt>
                <c:pt idx="18">
                  <c:v>0.93</c:v>
                </c:pt>
                <c:pt idx="19">
                  <c:v>0.92700000000000005</c:v>
                </c:pt>
                <c:pt idx="20">
                  <c:v>0.92500000000000004</c:v>
                </c:pt>
                <c:pt idx="21">
                  <c:v>0.92300000000000004</c:v>
                </c:pt>
                <c:pt idx="22">
                  <c:v>0.92</c:v>
                </c:pt>
                <c:pt idx="23">
                  <c:v>0.91800000000000004</c:v>
                </c:pt>
                <c:pt idx="24">
                  <c:v>0.91500000000000004</c:v>
                </c:pt>
                <c:pt idx="25">
                  <c:v>0.91300000000000003</c:v>
                </c:pt>
                <c:pt idx="26">
                  <c:v>0.91</c:v>
                </c:pt>
                <c:pt idx="27">
                  <c:v>0.90800000000000003</c:v>
                </c:pt>
                <c:pt idx="28">
                  <c:v>0.90500000000000003</c:v>
                </c:pt>
                <c:pt idx="29">
                  <c:v>0.90300000000000002</c:v>
                </c:pt>
                <c:pt idx="30">
                  <c:v>0.90100000000000002</c:v>
                </c:pt>
                <c:pt idx="31">
                  <c:v>0.89800000000000002</c:v>
                </c:pt>
                <c:pt idx="32">
                  <c:v>0.89600000000000002</c:v>
                </c:pt>
                <c:pt idx="33">
                  <c:v>0.89300000000000002</c:v>
                </c:pt>
                <c:pt idx="34">
                  <c:v>0.89100000000000001</c:v>
                </c:pt>
                <c:pt idx="35">
                  <c:v>0.88800000000000001</c:v>
                </c:pt>
                <c:pt idx="36">
                  <c:v>0.88600000000000001</c:v>
                </c:pt>
                <c:pt idx="37">
                  <c:v>0.88300000000000001</c:v>
                </c:pt>
                <c:pt idx="38">
                  <c:v>0.88100000000000001</c:v>
                </c:pt>
                <c:pt idx="39">
                  <c:v>0.878</c:v>
                </c:pt>
                <c:pt idx="40">
                  <c:v>0.876</c:v>
                </c:pt>
                <c:pt idx="41">
                  <c:v>0.874</c:v>
                </c:pt>
                <c:pt idx="42">
                  <c:v>0.871</c:v>
                </c:pt>
                <c:pt idx="43">
                  <c:v>0.86899999999999999</c:v>
                </c:pt>
                <c:pt idx="44">
                  <c:v>0.86599999999999999</c:v>
                </c:pt>
                <c:pt idx="45">
                  <c:v>0.86399999999999999</c:v>
                </c:pt>
                <c:pt idx="46">
                  <c:v>0.86099999999999999</c:v>
                </c:pt>
                <c:pt idx="47">
                  <c:v>0.85899999999999999</c:v>
                </c:pt>
                <c:pt idx="48">
                  <c:v>0.85599999999999998</c:v>
                </c:pt>
                <c:pt idx="49">
                  <c:v>0.85399999999999998</c:v>
                </c:pt>
                <c:pt idx="50">
                  <c:v>0.85199999999999998</c:v>
                </c:pt>
                <c:pt idx="51">
                  <c:v>0.84899999999999998</c:v>
                </c:pt>
                <c:pt idx="52">
                  <c:v>0.84699999999999998</c:v>
                </c:pt>
                <c:pt idx="53">
                  <c:v>0.84399999999999997</c:v>
                </c:pt>
                <c:pt idx="54">
                  <c:v>0.84199999999999997</c:v>
                </c:pt>
                <c:pt idx="55">
                  <c:v>0.83899999999999997</c:v>
                </c:pt>
                <c:pt idx="56">
                  <c:v>0.83699999999999997</c:v>
                </c:pt>
                <c:pt idx="57">
                  <c:v>0.83399999999999996</c:v>
                </c:pt>
                <c:pt idx="58">
                  <c:v>0.83199999999999996</c:v>
                </c:pt>
                <c:pt idx="59">
                  <c:v>0.82899999999999996</c:v>
                </c:pt>
                <c:pt idx="60">
                  <c:v>0.82699999999999996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04-480C-BA89-1BE934753EF2}"/>
            </c:ext>
          </c:extLst>
        </c:ser>
        <c:ser>
          <c:idx val="0"/>
          <c:order val="1"/>
          <c:tx>
            <c:v>Mean Female BMD + 2 SD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Data'!$S$6:$S$66</c:f>
              <c:numCache>
                <c:formatCode>_-* #,##0.000_-;\-* #,##0.000_-;_-* "-"??_-;_-@_-</c:formatCode>
                <c:ptCount val="61"/>
                <c:pt idx="0">
                  <c:v>1.3380000000000001</c:v>
                </c:pt>
                <c:pt idx="1">
                  <c:v>1.3340000000000001</c:v>
                </c:pt>
                <c:pt idx="2">
                  <c:v>1.329</c:v>
                </c:pt>
                <c:pt idx="3">
                  <c:v>1.325</c:v>
                </c:pt>
                <c:pt idx="4">
                  <c:v>1.3199999999999998</c:v>
                </c:pt>
                <c:pt idx="5">
                  <c:v>1.3159999999999998</c:v>
                </c:pt>
                <c:pt idx="6">
                  <c:v>1.3109999999999999</c:v>
                </c:pt>
                <c:pt idx="7">
                  <c:v>1.3069999999999999</c:v>
                </c:pt>
                <c:pt idx="8">
                  <c:v>1.3039999999999998</c:v>
                </c:pt>
                <c:pt idx="9">
                  <c:v>1.2999999999999998</c:v>
                </c:pt>
                <c:pt idx="10">
                  <c:v>1.2959999999999998</c:v>
                </c:pt>
                <c:pt idx="11">
                  <c:v>1.2909999999999999</c:v>
                </c:pt>
                <c:pt idx="12">
                  <c:v>1.2889999999999999</c:v>
                </c:pt>
                <c:pt idx="13">
                  <c:v>1.284</c:v>
                </c:pt>
                <c:pt idx="14">
                  <c:v>1.282</c:v>
                </c:pt>
                <c:pt idx="15">
                  <c:v>1.2770000000000001</c:v>
                </c:pt>
                <c:pt idx="16">
                  <c:v>1.2730000000000001</c:v>
                </c:pt>
                <c:pt idx="17">
                  <c:v>1.27</c:v>
                </c:pt>
                <c:pt idx="18">
                  <c:v>1.266</c:v>
                </c:pt>
                <c:pt idx="19">
                  <c:v>1.2630000000000001</c:v>
                </c:pt>
                <c:pt idx="20">
                  <c:v>1.2610000000000001</c:v>
                </c:pt>
                <c:pt idx="21">
                  <c:v>1.2570000000000001</c:v>
                </c:pt>
                <c:pt idx="22">
                  <c:v>1.254</c:v>
                </c:pt>
                <c:pt idx="23">
                  <c:v>1.252</c:v>
                </c:pt>
                <c:pt idx="24">
                  <c:v>1.2470000000000001</c:v>
                </c:pt>
                <c:pt idx="25">
                  <c:v>1.2450000000000001</c:v>
                </c:pt>
                <c:pt idx="26">
                  <c:v>1.242</c:v>
                </c:pt>
                <c:pt idx="27">
                  <c:v>1.24</c:v>
                </c:pt>
                <c:pt idx="28">
                  <c:v>1.2370000000000001</c:v>
                </c:pt>
                <c:pt idx="29">
                  <c:v>1.2350000000000001</c:v>
                </c:pt>
                <c:pt idx="30">
                  <c:v>1.2330000000000001</c:v>
                </c:pt>
                <c:pt idx="31">
                  <c:v>1.23</c:v>
                </c:pt>
                <c:pt idx="32">
                  <c:v>1.228</c:v>
                </c:pt>
                <c:pt idx="33">
                  <c:v>1.2250000000000001</c:v>
                </c:pt>
                <c:pt idx="34">
                  <c:v>1.2230000000000001</c:v>
                </c:pt>
                <c:pt idx="35">
                  <c:v>1.22</c:v>
                </c:pt>
                <c:pt idx="36">
                  <c:v>1.218</c:v>
                </c:pt>
                <c:pt idx="37">
                  <c:v>1.2150000000000001</c:v>
                </c:pt>
                <c:pt idx="38">
                  <c:v>1.2130000000000001</c:v>
                </c:pt>
                <c:pt idx="39">
                  <c:v>1.212</c:v>
                </c:pt>
                <c:pt idx="40">
                  <c:v>1.21</c:v>
                </c:pt>
                <c:pt idx="41">
                  <c:v>1.208</c:v>
                </c:pt>
                <c:pt idx="42">
                  <c:v>1.2070000000000001</c:v>
                </c:pt>
                <c:pt idx="43">
                  <c:v>1.2050000000000001</c:v>
                </c:pt>
                <c:pt idx="44">
                  <c:v>1.204</c:v>
                </c:pt>
                <c:pt idx="45">
                  <c:v>1.202</c:v>
                </c:pt>
                <c:pt idx="46">
                  <c:v>1.2010000000000001</c:v>
                </c:pt>
                <c:pt idx="47">
                  <c:v>1.1990000000000001</c:v>
                </c:pt>
                <c:pt idx="48">
                  <c:v>1.198</c:v>
                </c:pt>
                <c:pt idx="49">
                  <c:v>1.196</c:v>
                </c:pt>
                <c:pt idx="50">
                  <c:v>1.196</c:v>
                </c:pt>
                <c:pt idx="51">
                  <c:v>1.1949999999999998</c:v>
                </c:pt>
                <c:pt idx="52">
                  <c:v>1.1930000000000001</c:v>
                </c:pt>
                <c:pt idx="53">
                  <c:v>1.1919999999999999</c:v>
                </c:pt>
                <c:pt idx="54">
                  <c:v>1.1919999999999999</c:v>
                </c:pt>
                <c:pt idx="55">
                  <c:v>1.1909999999999998</c:v>
                </c:pt>
                <c:pt idx="56">
                  <c:v>1.1890000000000001</c:v>
                </c:pt>
                <c:pt idx="57">
                  <c:v>1.1879999999999999</c:v>
                </c:pt>
                <c:pt idx="58">
                  <c:v>1.1879999999999999</c:v>
                </c:pt>
                <c:pt idx="59">
                  <c:v>1.1869999999999998</c:v>
                </c:pt>
                <c:pt idx="60">
                  <c:v>1.1869999999999998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04-480C-BA89-1BE934753EF2}"/>
            </c:ext>
          </c:extLst>
        </c:ser>
        <c:ser>
          <c:idx val="2"/>
          <c:order val="2"/>
          <c:tx>
            <c:v>Mean Female BMD - 2 SD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Data'!$T$6:$T$66</c:f>
              <c:numCache>
                <c:formatCode>_-* #,##0.000_-;\-* #,##0.000_-;_-* "-"??_-;_-@_-</c:formatCode>
                <c:ptCount val="61"/>
                <c:pt idx="0">
                  <c:v>0.61</c:v>
                </c:pt>
                <c:pt idx="1">
                  <c:v>0.61</c:v>
                </c:pt>
                <c:pt idx="2">
                  <c:v>0.60899999999999999</c:v>
                </c:pt>
                <c:pt idx="3">
                  <c:v>0.60899999999999999</c:v>
                </c:pt>
                <c:pt idx="4">
                  <c:v>0.60799999999999998</c:v>
                </c:pt>
                <c:pt idx="5">
                  <c:v>0.60799999999999998</c:v>
                </c:pt>
                <c:pt idx="6">
                  <c:v>0.60699999999999998</c:v>
                </c:pt>
                <c:pt idx="7">
                  <c:v>0.60699999999999998</c:v>
                </c:pt>
                <c:pt idx="8">
                  <c:v>0.60399999999999998</c:v>
                </c:pt>
                <c:pt idx="9">
                  <c:v>0.60399999999999998</c:v>
                </c:pt>
                <c:pt idx="10">
                  <c:v>0.60399999999999998</c:v>
                </c:pt>
                <c:pt idx="11">
                  <c:v>0.60299999999999998</c:v>
                </c:pt>
                <c:pt idx="12">
                  <c:v>0.60099999999999998</c:v>
                </c:pt>
                <c:pt idx="13">
                  <c:v>0.59999999999999987</c:v>
                </c:pt>
                <c:pt idx="14">
                  <c:v>0.59799999999999986</c:v>
                </c:pt>
                <c:pt idx="15">
                  <c:v>0.59699999999999998</c:v>
                </c:pt>
                <c:pt idx="16">
                  <c:v>0.59699999999999998</c:v>
                </c:pt>
                <c:pt idx="17">
                  <c:v>0.59400000000000008</c:v>
                </c:pt>
                <c:pt idx="18">
                  <c:v>0.59400000000000008</c:v>
                </c:pt>
                <c:pt idx="19">
                  <c:v>0.59099999999999997</c:v>
                </c:pt>
                <c:pt idx="20">
                  <c:v>0.58899999999999997</c:v>
                </c:pt>
                <c:pt idx="21">
                  <c:v>0.58899999999999997</c:v>
                </c:pt>
                <c:pt idx="22">
                  <c:v>0.58600000000000008</c:v>
                </c:pt>
                <c:pt idx="23">
                  <c:v>0.58400000000000007</c:v>
                </c:pt>
                <c:pt idx="24">
                  <c:v>0.58299999999999996</c:v>
                </c:pt>
                <c:pt idx="25">
                  <c:v>0.58099999999999996</c:v>
                </c:pt>
                <c:pt idx="26">
                  <c:v>0.57800000000000007</c:v>
                </c:pt>
                <c:pt idx="27">
                  <c:v>0.57600000000000007</c:v>
                </c:pt>
                <c:pt idx="28">
                  <c:v>0.57299999999999995</c:v>
                </c:pt>
                <c:pt idx="29">
                  <c:v>0.57099999999999995</c:v>
                </c:pt>
                <c:pt idx="30">
                  <c:v>0.56899999999999995</c:v>
                </c:pt>
                <c:pt idx="31">
                  <c:v>0.56600000000000006</c:v>
                </c:pt>
                <c:pt idx="32">
                  <c:v>0.56400000000000006</c:v>
                </c:pt>
                <c:pt idx="33">
                  <c:v>0.56099999999999994</c:v>
                </c:pt>
                <c:pt idx="34">
                  <c:v>0.55899999999999994</c:v>
                </c:pt>
                <c:pt idx="35">
                  <c:v>0.55600000000000005</c:v>
                </c:pt>
                <c:pt idx="36">
                  <c:v>0.55400000000000005</c:v>
                </c:pt>
                <c:pt idx="37">
                  <c:v>0.55099999999999993</c:v>
                </c:pt>
                <c:pt idx="38">
                  <c:v>0.54899999999999993</c:v>
                </c:pt>
                <c:pt idx="39">
                  <c:v>0.54400000000000004</c:v>
                </c:pt>
                <c:pt idx="40">
                  <c:v>0.54200000000000004</c:v>
                </c:pt>
                <c:pt idx="41">
                  <c:v>0.54</c:v>
                </c:pt>
                <c:pt idx="42">
                  <c:v>0.53499999999999992</c:v>
                </c:pt>
                <c:pt idx="43">
                  <c:v>0.53299999999999992</c:v>
                </c:pt>
                <c:pt idx="44">
                  <c:v>0.52800000000000002</c:v>
                </c:pt>
                <c:pt idx="45">
                  <c:v>0.52600000000000002</c:v>
                </c:pt>
                <c:pt idx="46">
                  <c:v>0.52099999999999991</c:v>
                </c:pt>
                <c:pt idx="47">
                  <c:v>0.51899999999999991</c:v>
                </c:pt>
                <c:pt idx="48">
                  <c:v>0.51400000000000001</c:v>
                </c:pt>
                <c:pt idx="49">
                  <c:v>0.51200000000000001</c:v>
                </c:pt>
                <c:pt idx="50">
                  <c:v>0.50800000000000001</c:v>
                </c:pt>
                <c:pt idx="51">
                  <c:v>0.503</c:v>
                </c:pt>
                <c:pt idx="52">
                  <c:v>0.501</c:v>
                </c:pt>
                <c:pt idx="53">
                  <c:v>0.496</c:v>
                </c:pt>
                <c:pt idx="54">
                  <c:v>0.49199999999999999</c:v>
                </c:pt>
                <c:pt idx="55">
                  <c:v>0.48699999999999999</c:v>
                </c:pt>
                <c:pt idx="56">
                  <c:v>0.48499999999999999</c:v>
                </c:pt>
                <c:pt idx="57">
                  <c:v>0.48</c:v>
                </c:pt>
                <c:pt idx="58">
                  <c:v>0.47599999999999998</c:v>
                </c:pt>
                <c:pt idx="59">
                  <c:v>0.47099999999999997</c:v>
                </c:pt>
                <c:pt idx="60">
                  <c:v>0.46699999999999997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04-480C-BA89-1BE934753EF2}"/>
            </c:ext>
          </c:extLst>
        </c:ser>
        <c:ser>
          <c:idx val="3"/>
          <c:order val="3"/>
          <c:tx>
            <c:v>Sample Female BMD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</a:ln>
            </c:spPr>
          </c:marker>
          <c:cat>
            <c:numRef>
              <c:f>'Reference BMD Data'!$A$11:$A$66</c:f>
              <c:numCache>
                <c:formatCode>_-* #,##0_-;\-* #,##0_-;_-* "-"??_-;_-@_-</c:formatCode>
                <c:ptCount val="5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</c:numCache>
            </c:numRef>
          </c:cat>
          <c:val>
            <c:numRef>
              <c:f>'Reference BMD Data'!$U$11:$U$66</c:f>
              <c:numCache>
                <c:formatCode>_-* #,##0.000_-;\-* #,##0.000_-;_-* "-"??_-;_-@_-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0.93700000000000006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04-480C-BA89-1BE934753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88800"/>
        <c:axId val="78990720"/>
      </c:lineChart>
      <c:catAx>
        <c:axId val="78988800"/>
        <c:scaling>
          <c:orientation val="minMax"/>
          <c:max val="61"/>
          <c:min val="1"/>
        </c:scaling>
        <c:delete val="0"/>
        <c:axPos val="b"/>
        <c:numFmt formatCode="_-* #,##0_-;\-* #,##0_-;_-* &quot;-&quot;??_-;_-@_-" sourceLinked="1"/>
        <c:majorTickMark val="out"/>
        <c:minorTickMark val="none"/>
        <c:tickLblPos val="nextTo"/>
        <c:crossAx val="78990720"/>
        <c:crosses val="autoZero"/>
        <c:auto val="0"/>
        <c:lblAlgn val="ctr"/>
        <c:lblOffset val="100"/>
        <c:tickLblSkip val="5"/>
        <c:tickMarkSkip val="5"/>
        <c:noMultiLvlLbl val="0"/>
      </c:catAx>
      <c:valAx>
        <c:axId val="78990720"/>
        <c:scaling>
          <c:orientation val="minMax"/>
          <c:min val="0.1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78988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95249</xdr:rowOff>
    </xdr:from>
    <xdr:to>
      <xdr:col>11</xdr:col>
      <xdr:colOff>200025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152400</xdr:rowOff>
    </xdr:from>
    <xdr:to>
      <xdr:col>11</xdr:col>
      <xdr:colOff>200025</xdr:colOff>
      <xdr:row>42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95249</xdr:rowOff>
    </xdr:from>
    <xdr:to>
      <xdr:col>11</xdr:col>
      <xdr:colOff>200025</xdr:colOff>
      <xdr:row>31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152400</xdr:rowOff>
    </xdr:from>
    <xdr:to>
      <xdr:col>11</xdr:col>
      <xdr:colOff>200025</xdr:colOff>
      <xdr:row>42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4"/>
  <sheetViews>
    <sheetView tabSelected="1" workbookViewId="0">
      <selection activeCell="I1" sqref="I1"/>
    </sheetView>
  </sheetViews>
  <sheetFormatPr defaultRowHeight="14.5" x14ac:dyDescent="0.35"/>
  <cols>
    <col min="1" max="1" width="5.7265625" customWidth="1"/>
    <col min="2" max="2" width="7.54296875" style="5" customWidth="1"/>
    <col min="3" max="6" width="7.26953125" style="5" customWidth="1"/>
    <col min="7" max="7" width="7" style="5" customWidth="1"/>
    <col min="8" max="11" width="7.26953125" style="5" customWidth="1"/>
  </cols>
  <sheetData>
    <row r="1" spans="1:11" s="1" customFormat="1" ht="18.5" x14ac:dyDescent="0.45">
      <c r="A1" s="1" t="s">
        <v>20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8.5" x14ac:dyDescent="0.45">
      <c r="A2" s="1" t="s">
        <v>22</v>
      </c>
      <c r="B2" s="3"/>
      <c r="C2" s="3"/>
      <c r="D2" s="3"/>
      <c r="E2" s="3"/>
      <c r="F2" s="3"/>
      <c r="G2" s="3"/>
      <c r="H2" s="3"/>
      <c r="I2" s="3"/>
      <c r="K2" s="3"/>
    </row>
    <row r="3" spans="1:11" s="2" customFormat="1" x14ac:dyDescent="0.35">
      <c r="A3" s="18" t="s">
        <v>23</v>
      </c>
      <c r="B3" s="17"/>
      <c r="C3" s="22" t="s">
        <v>24</v>
      </c>
      <c r="D3" s="17"/>
      <c r="E3" s="17"/>
      <c r="F3" s="17"/>
      <c r="G3" s="17"/>
      <c r="H3" s="17"/>
      <c r="I3" s="17"/>
      <c r="J3" s="17"/>
      <c r="K3" s="17"/>
    </row>
    <row r="4" spans="1:11" s="2" customFormat="1" x14ac:dyDescent="0.35">
      <c r="B4" s="17"/>
      <c r="C4" s="22" t="s">
        <v>25</v>
      </c>
      <c r="D4" s="17"/>
      <c r="E4" s="17"/>
      <c r="F4" s="17"/>
      <c r="G4" s="17"/>
      <c r="H4" s="17"/>
      <c r="I4" s="17"/>
      <c r="J4" s="17"/>
      <c r="K4" s="17"/>
    </row>
    <row r="5" spans="1:11" x14ac:dyDescent="0.35">
      <c r="C5" s="22" t="s">
        <v>26</v>
      </c>
    </row>
    <row r="7" spans="1:11" s="2" customFormat="1" x14ac:dyDescent="0.35">
      <c r="A7" s="29" t="s">
        <v>8</v>
      </c>
      <c r="B7" s="30"/>
      <c r="C7" s="30"/>
      <c r="D7" s="30"/>
      <c r="E7" s="30"/>
      <c r="F7" s="30"/>
      <c r="G7" s="30"/>
      <c r="H7" s="30"/>
      <c r="I7" s="30"/>
      <c r="J7" s="30"/>
      <c r="K7" s="31"/>
    </row>
    <row r="8" spans="1:11" s="2" customFormat="1" x14ac:dyDescent="0.35">
      <c r="A8" s="35" t="s">
        <v>0</v>
      </c>
      <c r="B8" s="32" t="s">
        <v>12</v>
      </c>
      <c r="C8" s="33"/>
      <c r="D8" s="33"/>
      <c r="E8" s="33"/>
      <c r="F8" s="34"/>
      <c r="G8" s="32" t="s">
        <v>13</v>
      </c>
      <c r="H8" s="33"/>
      <c r="I8" s="33"/>
      <c r="J8" s="33"/>
      <c r="K8" s="34"/>
    </row>
    <row r="9" spans="1:11" s="2" customFormat="1" ht="31.5" customHeight="1" thickBot="1" x14ac:dyDescent="0.4">
      <c r="A9" s="36"/>
      <c r="B9" s="20" t="s">
        <v>11</v>
      </c>
      <c r="C9" s="23" t="s">
        <v>15</v>
      </c>
      <c r="D9" s="23" t="s">
        <v>16</v>
      </c>
      <c r="E9" s="24" t="s">
        <v>10</v>
      </c>
      <c r="F9" s="24" t="s">
        <v>9</v>
      </c>
      <c r="G9" s="20" t="s">
        <v>11</v>
      </c>
      <c r="H9" s="23" t="s">
        <v>15</v>
      </c>
      <c r="I9" s="23" t="s">
        <v>16</v>
      </c>
      <c r="J9" s="24" t="s">
        <v>10</v>
      </c>
      <c r="K9" s="26" t="s">
        <v>9</v>
      </c>
    </row>
    <row r="10" spans="1:11" ht="15" thickBot="1" x14ac:dyDescent="0.4">
      <c r="A10" s="8">
        <v>25</v>
      </c>
      <c r="B10" s="9">
        <v>1.103</v>
      </c>
      <c r="C10" s="25">
        <f>IF(A10&gt;70,VLOOKUP(70,'Reference BMD Data'!A$6:B$66,2),VLOOKUP(A10,'Reference BMD Data'!A$6:B$66,2))</f>
        <v>1.103</v>
      </c>
      <c r="D10" s="25">
        <f>IF(A10&gt;70,VLOOKUP(70,'Reference BMD Data'!A$6:C$66,3),VLOOKUP(A10,'Reference BMD Data'!A$6:C$66,3))</f>
        <v>0.13900000000000001</v>
      </c>
      <c r="E10" s="21">
        <f>(B10-'Reference BMD Data'!B$21)/'Reference BMD Data'!C$21</f>
        <v>0</v>
      </c>
      <c r="F10" s="21">
        <f>(B10-C10)/D10</f>
        <v>0</v>
      </c>
      <c r="G10" s="10">
        <v>0.94599999999999995</v>
      </c>
      <c r="H10" s="25">
        <f>IF(A10&gt;70,VLOOKUP(70,'Reference BMD Data'!A$6:G$66,7),VLOOKUP(A10,'Reference BMD Data'!A$6:G$66,7))</f>
        <v>0.94599999999999995</v>
      </c>
      <c r="I10" s="25">
        <f>IF(A10&gt;70,VLOOKUP(70,'Reference BMD Data'!A$6:H$66,8),VLOOKUP(A10,'Reference BMD Data'!A$6:H$66,8))</f>
        <v>0.17299999999999999</v>
      </c>
      <c r="J10" s="21">
        <f>(G10-'Reference BMD Data'!G$21)/'Reference BMD Data'!H$21</f>
        <v>0</v>
      </c>
      <c r="K10" s="21">
        <f>(G10-H10)/I10</f>
        <v>0</v>
      </c>
    </row>
    <row r="11" spans="1:11" ht="15" thickBot="1" x14ac:dyDescent="0.4">
      <c r="A11" s="8">
        <v>25</v>
      </c>
      <c r="B11" s="9"/>
      <c r="C11" s="25">
        <f>IF(A11&gt;70,VLOOKUP(70,'Reference BMD Data'!A$6:B$66,2),VLOOKUP(A11,'Reference BMD Data'!A$6:B$66,2))</f>
        <v>1.103</v>
      </c>
      <c r="D11" s="25">
        <f>IF(A11&gt;70,VLOOKUP(70,'Reference BMD Data'!A$6:C$66,3),VLOOKUP(A11,'Reference BMD Data'!A$6:C$66,3))</f>
        <v>0.13900000000000001</v>
      </c>
      <c r="E11" s="21">
        <f>(B11-'Reference BMD Data'!B$21)/'Reference BMD Data'!C$21</f>
        <v>-7.9352517985611506</v>
      </c>
      <c r="F11" s="21">
        <f t="shared" ref="F11:F19" si="0">(B11-C11)/D11</f>
        <v>-7.9352517985611506</v>
      </c>
      <c r="G11" s="10"/>
      <c r="H11" s="25">
        <f>IF(A11&gt;70,VLOOKUP(70,'Reference BMD Data'!A$6:G$66,7),VLOOKUP(A11,'Reference BMD Data'!A$6:G$66,7))</f>
        <v>0.94599999999999995</v>
      </c>
      <c r="I11" s="25">
        <f>IF(A11&gt;70,VLOOKUP(70,'Reference BMD Data'!A$6:H$66,8),VLOOKUP(A11,'Reference BMD Data'!A$6:H$66,8))</f>
        <v>0.17299999999999999</v>
      </c>
      <c r="J11" s="21">
        <f>(G11-'Reference BMD Data'!G$21)/'Reference BMD Data'!H$21</f>
        <v>-5.4682080924855496</v>
      </c>
      <c r="K11" s="21">
        <f t="shared" ref="K11:K19" si="1">(G11-H11)/I11</f>
        <v>-5.4682080924855496</v>
      </c>
    </row>
    <row r="12" spans="1:11" ht="15" thickBot="1" x14ac:dyDescent="0.4">
      <c r="A12" s="8">
        <v>25</v>
      </c>
      <c r="B12" s="9"/>
      <c r="C12" s="25">
        <f>IF(A12&gt;70,VLOOKUP(70,'Reference BMD Data'!A$6:B$66,2),VLOOKUP(A12,'Reference BMD Data'!A$6:B$66,2))</f>
        <v>1.103</v>
      </c>
      <c r="D12" s="25">
        <f>IF(A12&gt;70,VLOOKUP(70,'Reference BMD Data'!A$6:C$66,3),VLOOKUP(A12,'Reference BMD Data'!A$6:C$66,3))</f>
        <v>0.13900000000000001</v>
      </c>
      <c r="E12" s="21">
        <f>(B12-'Reference BMD Data'!B$21)/'Reference BMD Data'!C$21</f>
        <v>-7.9352517985611506</v>
      </c>
      <c r="F12" s="21">
        <f t="shared" si="0"/>
        <v>-7.9352517985611506</v>
      </c>
      <c r="G12" s="10"/>
      <c r="H12" s="25">
        <f>IF(A12&gt;70,VLOOKUP(70,'Reference BMD Data'!A$6:G$66,7),VLOOKUP(A12,'Reference BMD Data'!A$6:G$66,7))</f>
        <v>0.94599999999999995</v>
      </c>
      <c r="I12" s="25">
        <f>IF(A12&gt;70,VLOOKUP(70,'Reference BMD Data'!A$6:H$66,8),VLOOKUP(A12,'Reference BMD Data'!A$6:H$66,8))</f>
        <v>0.17299999999999999</v>
      </c>
      <c r="J12" s="21">
        <f>(G12-'Reference BMD Data'!G$21)/'Reference BMD Data'!H$21</f>
        <v>-5.4682080924855496</v>
      </c>
      <c r="K12" s="21">
        <f t="shared" si="1"/>
        <v>-5.4682080924855496</v>
      </c>
    </row>
    <row r="13" spans="1:11" ht="15" thickBot="1" x14ac:dyDescent="0.4">
      <c r="A13" s="8">
        <v>25</v>
      </c>
      <c r="B13" s="9"/>
      <c r="C13" s="25">
        <f>IF(A13&gt;70,VLOOKUP(70,'Reference BMD Data'!A$6:B$66,2),VLOOKUP(A13,'Reference BMD Data'!A$6:B$66,2))</f>
        <v>1.103</v>
      </c>
      <c r="D13" s="25">
        <f>IF(A13&gt;70,VLOOKUP(70,'Reference BMD Data'!A$6:C$66,3),VLOOKUP(A13,'Reference BMD Data'!A$6:C$66,3))</f>
        <v>0.13900000000000001</v>
      </c>
      <c r="E13" s="21">
        <f>(B13-'Reference BMD Data'!B$21)/'Reference BMD Data'!C$21</f>
        <v>-7.9352517985611506</v>
      </c>
      <c r="F13" s="21">
        <f t="shared" si="0"/>
        <v>-7.9352517985611506</v>
      </c>
      <c r="G13" s="10"/>
      <c r="H13" s="25">
        <f>IF(A13&gt;70,VLOOKUP(70,'Reference BMD Data'!A$6:G$66,7),VLOOKUP(A13,'Reference BMD Data'!A$6:G$66,7))</f>
        <v>0.94599999999999995</v>
      </c>
      <c r="I13" s="25">
        <f>IF(A13&gt;70,VLOOKUP(70,'Reference BMD Data'!A$6:H$66,8),VLOOKUP(A13,'Reference BMD Data'!A$6:H$66,8))</f>
        <v>0.17299999999999999</v>
      </c>
      <c r="J13" s="21">
        <f>(G13-'Reference BMD Data'!G$21)/'Reference BMD Data'!H$21</f>
        <v>-5.4682080924855496</v>
      </c>
      <c r="K13" s="21">
        <f t="shared" si="1"/>
        <v>-5.4682080924855496</v>
      </c>
    </row>
    <row r="14" spans="1:11" ht="15" thickBot="1" x14ac:dyDescent="0.4">
      <c r="A14" s="8">
        <v>25</v>
      </c>
      <c r="B14" s="9"/>
      <c r="C14" s="25">
        <f>IF(A14&gt;70,VLOOKUP(70,'Reference BMD Data'!A$6:B$66,2),VLOOKUP(A14,'Reference BMD Data'!A$6:B$66,2))</f>
        <v>1.103</v>
      </c>
      <c r="D14" s="25">
        <f>IF(A14&gt;70,VLOOKUP(70,'Reference BMD Data'!A$6:C$66,3),VLOOKUP(A14,'Reference BMD Data'!A$6:C$66,3))</f>
        <v>0.13900000000000001</v>
      </c>
      <c r="E14" s="21">
        <f>(B14-'Reference BMD Data'!B$21)/'Reference BMD Data'!C$21</f>
        <v>-7.9352517985611506</v>
      </c>
      <c r="F14" s="21">
        <f t="shared" si="0"/>
        <v>-7.9352517985611506</v>
      </c>
      <c r="G14" s="10"/>
      <c r="H14" s="25">
        <f>IF(A14&gt;70,VLOOKUP(70,'Reference BMD Data'!A$6:G$66,7),VLOOKUP(A14,'Reference BMD Data'!A$6:G$66,7))</f>
        <v>0.94599999999999995</v>
      </c>
      <c r="I14" s="25">
        <f>IF(A14&gt;70,VLOOKUP(70,'Reference BMD Data'!A$6:H$66,8),VLOOKUP(A14,'Reference BMD Data'!A$6:H$66,8))</f>
        <v>0.17299999999999999</v>
      </c>
      <c r="J14" s="21">
        <f>(G14-'Reference BMD Data'!G$21)/'Reference BMD Data'!H$21</f>
        <v>-5.4682080924855496</v>
      </c>
      <c r="K14" s="21">
        <f t="shared" si="1"/>
        <v>-5.4682080924855496</v>
      </c>
    </row>
    <row r="15" spans="1:11" ht="15" thickBot="1" x14ac:dyDescent="0.4">
      <c r="A15" s="8">
        <v>25</v>
      </c>
      <c r="B15" s="9"/>
      <c r="C15" s="25">
        <f>IF(A15&gt;70,VLOOKUP(70,'Reference BMD Data'!A$6:B$66,2),VLOOKUP(A15,'Reference BMD Data'!A$6:B$66,2))</f>
        <v>1.103</v>
      </c>
      <c r="D15" s="25">
        <f>IF(A15&gt;70,VLOOKUP(70,'Reference BMD Data'!A$6:C$66,3),VLOOKUP(A15,'Reference BMD Data'!A$6:C$66,3))</f>
        <v>0.13900000000000001</v>
      </c>
      <c r="E15" s="21">
        <f>(B15-'Reference BMD Data'!B$21)/'Reference BMD Data'!C$21</f>
        <v>-7.9352517985611506</v>
      </c>
      <c r="F15" s="21">
        <f t="shared" si="0"/>
        <v>-7.9352517985611506</v>
      </c>
      <c r="G15" s="10"/>
      <c r="H15" s="25">
        <f>IF(A15&gt;70,VLOOKUP(70,'Reference BMD Data'!A$6:G$66,7),VLOOKUP(A15,'Reference BMD Data'!A$6:G$66,7))</f>
        <v>0.94599999999999995</v>
      </c>
      <c r="I15" s="25">
        <f>IF(A15&gt;70,VLOOKUP(70,'Reference BMD Data'!A$6:H$66,8),VLOOKUP(A15,'Reference BMD Data'!A$6:H$66,8))</f>
        <v>0.17299999999999999</v>
      </c>
      <c r="J15" s="21">
        <f>(G15-'Reference BMD Data'!G$21)/'Reference BMD Data'!H$21</f>
        <v>-5.4682080924855496</v>
      </c>
      <c r="K15" s="21">
        <f t="shared" si="1"/>
        <v>-5.4682080924855496</v>
      </c>
    </row>
    <row r="16" spans="1:11" ht="15" thickBot="1" x14ac:dyDescent="0.4">
      <c r="A16" s="8">
        <v>25</v>
      </c>
      <c r="B16" s="9"/>
      <c r="C16" s="25">
        <f>IF(A16&gt;70,VLOOKUP(70,'Reference BMD Data'!A$6:B$66,2),VLOOKUP(A16,'Reference BMD Data'!A$6:B$66,2))</f>
        <v>1.103</v>
      </c>
      <c r="D16" s="25">
        <f>IF(A16&gt;70,VLOOKUP(70,'Reference BMD Data'!A$6:C$66,3),VLOOKUP(A16,'Reference BMD Data'!A$6:C$66,3))</f>
        <v>0.13900000000000001</v>
      </c>
      <c r="E16" s="21">
        <f>(B16-'Reference BMD Data'!B$21)/'Reference BMD Data'!C$21</f>
        <v>-7.9352517985611506</v>
      </c>
      <c r="F16" s="21">
        <f t="shared" si="0"/>
        <v>-7.9352517985611506</v>
      </c>
      <c r="G16" s="10"/>
      <c r="H16" s="25">
        <f>IF(A16&gt;70,VLOOKUP(70,'Reference BMD Data'!A$6:G$66,7),VLOOKUP(A16,'Reference BMD Data'!A$6:G$66,7))</f>
        <v>0.94599999999999995</v>
      </c>
      <c r="I16" s="25">
        <f>IF(A16&gt;70,VLOOKUP(70,'Reference BMD Data'!A$6:H$66,8),VLOOKUP(A16,'Reference BMD Data'!A$6:H$66,8))</f>
        <v>0.17299999999999999</v>
      </c>
      <c r="J16" s="21">
        <f>(G16-'Reference BMD Data'!G$21)/'Reference BMD Data'!H$21</f>
        <v>-5.4682080924855496</v>
      </c>
      <c r="K16" s="21">
        <f t="shared" si="1"/>
        <v>-5.4682080924855496</v>
      </c>
    </row>
    <row r="17" spans="1:11" ht="15" thickBot="1" x14ac:dyDescent="0.4">
      <c r="A17" s="8">
        <v>25</v>
      </c>
      <c r="B17" s="9"/>
      <c r="C17" s="25">
        <f>IF(A17&gt;70,VLOOKUP(70,'Reference BMD Data'!A$6:B$66,2),VLOOKUP(A17,'Reference BMD Data'!A$6:B$66,2))</f>
        <v>1.103</v>
      </c>
      <c r="D17" s="25">
        <f>IF(A17&gt;70,VLOOKUP(70,'Reference BMD Data'!A$6:C$66,3),VLOOKUP(A17,'Reference BMD Data'!A$6:C$66,3))</f>
        <v>0.13900000000000001</v>
      </c>
      <c r="E17" s="21">
        <f>(B17-'Reference BMD Data'!B$21)/'Reference BMD Data'!C$21</f>
        <v>-7.9352517985611506</v>
      </c>
      <c r="F17" s="21">
        <f t="shared" si="0"/>
        <v>-7.9352517985611506</v>
      </c>
      <c r="G17" s="10"/>
      <c r="H17" s="25">
        <f>IF(A17&gt;70,VLOOKUP(70,'Reference BMD Data'!A$6:G$66,7),VLOOKUP(A17,'Reference BMD Data'!A$6:G$66,7))</f>
        <v>0.94599999999999995</v>
      </c>
      <c r="I17" s="25">
        <f>IF(A17&gt;70,VLOOKUP(70,'Reference BMD Data'!A$6:H$66,8),VLOOKUP(A17,'Reference BMD Data'!A$6:H$66,8))</f>
        <v>0.17299999999999999</v>
      </c>
      <c r="J17" s="21">
        <f>(G17-'Reference BMD Data'!G$21)/'Reference BMD Data'!H$21</f>
        <v>-5.4682080924855496</v>
      </c>
      <c r="K17" s="21">
        <f t="shared" si="1"/>
        <v>-5.4682080924855496</v>
      </c>
    </row>
    <row r="18" spans="1:11" ht="15" thickBot="1" x14ac:dyDescent="0.4">
      <c r="A18" s="8">
        <v>25</v>
      </c>
      <c r="B18" s="9"/>
      <c r="C18" s="25">
        <f>IF(A18&gt;70,VLOOKUP(70,'Reference BMD Data'!A$6:B$66,2),VLOOKUP(A18,'Reference BMD Data'!A$6:B$66,2))</f>
        <v>1.103</v>
      </c>
      <c r="D18" s="25">
        <f>IF(A18&gt;70,VLOOKUP(70,'Reference BMD Data'!A$6:C$66,3),VLOOKUP(A18,'Reference BMD Data'!A$6:C$66,3))</f>
        <v>0.13900000000000001</v>
      </c>
      <c r="E18" s="21">
        <f>(B18-'Reference BMD Data'!B$21)/'Reference BMD Data'!C$21</f>
        <v>-7.9352517985611506</v>
      </c>
      <c r="F18" s="21">
        <f t="shared" si="0"/>
        <v>-7.9352517985611506</v>
      </c>
      <c r="G18" s="10"/>
      <c r="H18" s="25">
        <f>IF(A18&gt;70,VLOOKUP(70,'Reference BMD Data'!A$6:G$66,7),VLOOKUP(A18,'Reference BMD Data'!A$6:G$66,7))</f>
        <v>0.94599999999999995</v>
      </c>
      <c r="I18" s="25">
        <f>IF(A18&gt;70,VLOOKUP(70,'Reference BMD Data'!A$6:H$66,8),VLOOKUP(A18,'Reference BMD Data'!A$6:H$66,8))</f>
        <v>0.17299999999999999</v>
      </c>
      <c r="J18" s="21">
        <f>(G18-'Reference BMD Data'!G$21)/'Reference BMD Data'!H$21</f>
        <v>-5.4682080924855496</v>
      </c>
      <c r="K18" s="21">
        <f t="shared" si="1"/>
        <v>-5.4682080924855496</v>
      </c>
    </row>
    <row r="19" spans="1:11" ht="15" thickBot="1" x14ac:dyDescent="0.4">
      <c r="A19" s="8">
        <v>25</v>
      </c>
      <c r="B19" s="9"/>
      <c r="C19" s="25">
        <f>IF(A19&gt;70,VLOOKUP(70,'Reference BMD Data'!A$6:B$66,2),VLOOKUP(A19,'Reference BMD Data'!A$6:B$66,2))</f>
        <v>1.103</v>
      </c>
      <c r="D19" s="25">
        <f>IF(A19&gt;70,VLOOKUP(70,'Reference BMD Data'!A$6:C$66,3),VLOOKUP(A19,'Reference BMD Data'!A$6:C$66,3))</f>
        <v>0.13900000000000001</v>
      </c>
      <c r="E19" s="21">
        <f>(B19-'Reference BMD Data'!B$21)/'Reference BMD Data'!C$21</f>
        <v>-7.9352517985611506</v>
      </c>
      <c r="F19" s="21">
        <f t="shared" si="0"/>
        <v>-7.9352517985611506</v>
      </c>
      <c r="G19" s="10"/>
      <c r="H19" s="25">
        <f>IF(A19&gt;70,VLOOKUP(70,'Reference BMD Data'!A$6:G$66,7),VLOOKUP(A19,'Reference BMD Data'!A$6:G$66,7))</f>
        <v>0.94599999999999995</v>
      </c>
      <c r="I19" s="25">
        <f>IF(A19&gt;70,VLOOKUP(70,'Reference BMD Data'!A$6:H$66,8),VLOOKUP(A19,'Reference BMD Data'!A$6:H$66,8))</f>
        <v>0.17299999999999999</v>
      </c>
      <c r="J19" s="21">
        <f>(G19-'Reference BMD Data'!G$21)/'Reference BMD Data'!H$21</f>
        <v>-5.4682080924855496</v>
      </c>
      <c r="K19" s="21">
        <f t="shared" si="1"/>
        <v>-5.4682080924855496</v>
      </c>
    </row>
    <row r="21" spans="1:11" x14ac:dyDescent="0.35">
      <c r="A21" s="2" t="s">
        <v>19</v>
      </c>
    </row>
    <row r="22" spans="1:11" s="2" customFormat="1" x14ac:dyDescent="0.35">
      <c r="A22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s="2" customFormat="1" x14ac:dyDescent="0.35">
      <c r="A23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s="2" customFormat="1" ht="31.5" customHeight="1" x14ac:dyDescent="0.35">
      <c r="A24"/>
      <c r="B24" s="5"/>
      <c r="C24" s="5"/>
      <c r="D24" s="5"/>
      <c r="E24" s="5"/>
      <c r="F24" s="5"/>
      <c r="G24" s="5"/>
      <c r="H24" s="5"/>
      <c r="I24" s="5"/>
      <c r="J24" s="5"/>
      <c r="K24" s="5"/>
    </row>
  </sheetData>
  <mergeCells count="4">
    <mergeCell ref="A7:K7"/>
    <mergeCell ref="B8:F8"/>
    <mergeCell ref="G8:K8"/>
    <mergeCell ref="A8:A9"/>
  </mergeCells>
  <conditionalFormatting sqref="F10:F19">
    <cfRule type="expression" dxfId="7" priority="11">
      <formula>A10&lt;15</formula>
    </cfRule>
    <cfRule type="expression" dxfId="6" priority="12">
      <formula>A10&gt;70</formula>
    </cfRule>
  </conditionalFormatting>
  <conditionalFormatting sqref="K10:K19">
    <cfRule type="expression" dxfId="5" priority="1">
      <formula>A10&lt;15</formula>
    </cfRule>
    <cfRule type="expression" dxfId="4" priority="2">
      <formula>A10&gt;70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4"/>
  <sheetViews>
    <sheetView workbookViewId="0">
      <selection activeCell="H11" sqref="H11"/>
    </sheetView>
  </sheetViews>
  <sheetFormatPr defaultRowHeight="14.5" x14ac:dyDescent="0.35"/>
  <cols>
    <col min="1" max="1" width="5.7265625" customWidth="1"/>
    <col min="2" max="2" width="7.54296875" style="5" customWidth="1"/>
    <col min="3" max="6" width="7.26953125" style="5" customWidth="1"/>
    <col min="7" max="7" width="7" style="5" customWidth="1"/>
    <col min="8" max="11" width="7.26953125" style="5" customWidth="1"/>
  </cols>
  <sheetData>
    <row r="1" spans="1:11" s="1" customFormat="1" ht="18.5" x14ac:dyDescent="0.45">
      <c r="A1" s="1" t="s">
        <v>21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8.5" x14ac:dyDescent="0.45">
      <c r="A2" s="1" t="s">
        <v>22</v>
      </c>
      <c r="B2" s="3"/>
      <c r="C2" s="3"/>
      <c r="D2" s="3"/>
      <c r="E2" s="3"/>
      <c r="F2" s="3"/>
      <c r="G2" s="3"/>
      <c r="H2" s="3"/>
      <c r="I2" s="3"/>
      <c r="K2" s="3"/>
    </row>
    <row r="3" spans="1:11" s="2" customFormat="1" x14ac:dyDescent="0.35">
      <c r="A3" s="18" t="s">
        <v>23</v>
      </c>
      <c r="B3" s="17"/>
      <c r="C3" s="22" t="s">
        <v>24</v>
      </c>
      <c r="D3" s="17"/>
      <c r="E3" s="17"/>
      <c r="F3" s="17"/>
      <c r="G3" s="17"/>
      <c r="H3" s="17"/>
      <c r="I3" s="17"/>
      <c r="J3" s="17"/>
      <c r="K3" s="17"/>
    </row>
    <row r="4" spans="1:11" s="2" customFormat="1" x14ac:dyDescent="0.35">
      <c r="B4" s="17"/>
      <c r="C4" s="22" t="s">
        <v>25</v>
      </c>
      <c r="D4" s="17"/>
      <c r="E4" s="17"/>
      <c r="F4" s="17"/>
      <c r="G4" s="17"/>
      <c r="H4" s="17"/>
      <c r="I4" s="17"/>
      <c r="J4" s="17"/>
      <c r="K4" s="17"/>
    </row>
    <row r="5" spans="1:11" x14ac:dyDescent="0.35">
      <c r="C5" s="22" t="s">
        <v>26</v>
      </c>
    </row>
    <row r="7" spans="1:11" s="2" customFormat="1" x14ac:dyDescent="0.35">
      <c r="A7" s="29" t="s">
        <v>14</v>
      </c>
      <c r="B7" s="30"/>
      <c r="C7" s="30"/>
      <c r="D7" s="30"/>
      <c r="E7" s="30"/>
      <c r="F7" s="30"/>
      <c r="G7" s="30"/>
      <c r="H7" s="30"/>
      <c r="I7" s="30"/>
      <c r="J7" s="30"/>
      <c r="K7" s="31"/>
    </row>
    <row r="8" spans="1:11" s="2" customFormat="1" x14ac:dyDescent="0.35">
      <c r="A8" s="35" t="s">
        <v>0</v>
      </c>
      <c r="B8" s="32" t="s">
        <v>12</v>
      </c>
      <c r="C8" s="33"/>
      <c r="D8" s="33"/>
      <c r="E8" s="33"/>
      <c r="F8" s="34"/>
      <c r="G8" s="32" t="s">
        <v>13</v>
      </c>
      <c r="H8" s="33"/>
      <c r="I8" s="33"/>
      <c r="J8" s="33"/>
      <c r="K8" s="34"/>
    </row>
    <row r="9" spans="1:11" s="2" customFormat="1" ht="31.5" customHeight="1" thickBot="1" x14ac:dyDescent="0.4">
      <c r="A9" s="36"/>
      <c r="B9" s="20" t="s">
        <v>11</v>
      </c>
      <c r="C9" s="23" t="s">
        <v>15</v>
      </c>
      <c r="D9" s="23" t="s">
        <v>16</v>
      </c>
      <c r="E9" s="24" t="s">
        <v>10</v>
      </c>
      <c r="F9" s="24" t="s">
        <v>9</v>
      </c>
      <c r="G9" s="20" t="s">
        <v>11</v>
      </c>
      <c r="H9" s="23" t="s">
        <v>15</v>
      </c>
      <c r="I9" s="23" t="s">
        <v>16</v>
      </c>
      <c r="J9" s="24" t="s">
        <v>10</v>
      </c>
      <c r="K9" s="26" t="s">
        <v>9</v>
      </c>
    </row>
    <row r="10" spans="1:11" ht="15" thickBot="1" x14ac:dyDescent="0.4">
      <c r="A10" s="7">
        <v>25</v>
      </c>
      <c r="B10" s="27">
        <v>1.028</v>
      </c>
      <c r="C10" s="25">
        <f>IF(A10&gt;70,VLOOKUP(70,'Reference BMD Data'!A$6:M$66,12),VLOOKUP(A10,'Reference BMD Data'!A$6:M$66,12))</f>
        <v>1.028</v>
      </c>
      <c r="D10" s="25">
        <f>IF(A10&gt;70,VLOOKUP(70,'Reference BMD Data'!A$6:M$66,13),VLOOKUP(A10,'Reference BMD Data'!A$6:M$66,13))</f>
        <v>0.11600000000000001</v>
      </c>
      <c r="E10" s="21">
        <f>(B10-'Reference BMD Data'!L$21)/'Reference BMD Data'!M$21</f>
        <v>0</v>
      </c>
      <c r="F10" s="21">
        <f>(B10-C10)/D10</f>
        <v>0</v>
      </c>
      <c r="G10" s="28">
        <v>0.93700000000000006</v>
      </c>
      <c r="H10" s="25">
        <f>IF(A10&gt;70,VLOOKUP(70,'Reference BMD Data'!A$6:R$66,17),VLOOKUP(A10,'Reference BMD Data'!A$6:R$66,17))</f>
        <v>0.93700000000000006</v>
      </c>
      <c r="I10" s="25">
        <f>IF(A10&gt;70,VLOOKUP(70,'Reference BMD Data'!A$6:R$66,18),VLOOKUP(A10,'Reference BMD Data'!A$6:R$66,18))</f>
        <v>0.17</v>
      </c>
      <c r="J10" s="21">
        <f>(G10-'Reference BMD Data'!Q$21)/'Reference BMD Data'!R$21</f>
        <v>0</v>
      </c>
      <c r="K10" s="21">
        <f>(G10-H10)/I10</f>
        <v>0</v>
      </c>
    </row>
    <row r="11" spans="1:11" ht="15" thickBot="1" x14ac:dyDescent="0.4">
      <c r="A11" s="7">
        <v>25</v>
      </c>
      <c r="B11" s="27"/>
      <c r="C11" s="25">
        <f>IF(A11&gt;70,VLOOKUP(70,'Reference BMD Data'!A$6:M$66,12),VLOOKUP(A11,'Reference BMD Data'!A$6:M$66,12))</f>
        <v>1.028</v>
      </c>
      <c r="D11" s="25">
        <f>IF(A11&gt;70,VLOOKUP(70,'Reference BMD Data'!A$6:M$66,13),VLOOKUP(A11,'Reference BMD Data'!A$6:M$66,13))</f>
        <v>0.11600000000000001</v>
      </c>
      <c r="E11" s="21">
        <f>(B11-'Reference BMD Data'!L$21)/'Reference BMD Data'!M$21</f>
        <v>-8.862068965517242</v>
      </c>
      <c r="F11" s="21">
        <f t="shared" ref="F11:F19" si="0">(B11-C11)/D11</f>
        <v>-8.862068965517242</v>
      </c>
      <c r="G11" s="28"/>
      <c r="H11" s="25">
        <f>IF(A11&gt;70,VLOOKUP(70,'Reference BMD Data'!A$6:R$66,17),VLOOKUP(A11,'Reference BMD Data'!A$6:R$66,17))</f>
        <v>0.93700000000000006</v>
      </c>
      <c r="I11" s="25">
        <f>IF(A11&gt;70,VLOOKUP(70,'Reference BMD Data'!A$6:R$66,18),VLOOKUP(A11,'Reference BMD Data'!A$6:R$66,18))</f>
        <v>0.17</v>
      </c>
      <c r="J11" s="21">
        <f>(G11-'Reference BMD Data'!Q$21)/'Reference BMD Data'!R$21</f>
        <v>-5.5117647058823529</v>
      </c>
      <c r="K11" s="21">
        <f t="shared" ref="K11:K19" si="1">(G11-H11)/I11</f>
        <v>-5.5117647058823529</v>
      </c>
    </row>
    <row r="12" spans="1:11" ht="15" thickBot="1" x14ac:dyDescent="0.4">
      <c r="A12" s="7">
        <v>25</v>
      </c>
      <c r="B12" s="27"/>
      <c r="C12" s="25">
        <f>IF(A12&gt;70,VLOOKUP(70,'Reference BMD Data'!A$6:M$66,12),VLOOKUP(A12,'Reference BMD Data'!A$6:M$66,12))</f>
        <v>1.028</v>
      </c>
      <c r="D12" s="25">
        <f>IF(A12&gt;70,VLOOKUP(70,'Reference BMD Data'!A$6:M$66,13),VLOOKUP(A12,'Reference BMD Data'!A$6:M$66,13))</f>
        <v>0.11600000000000001</v>
      </c>
      <c r="E12" s="21">
        <f>(B12-'Reference BMD Data'!L$21)/'Reference BMD Data'!M$21</f>
        <v>-8.862068965517242</v>
      </c>
      <c r="F12" s="21">
        <f t="shared" si="0"/>
        <v>-8.862068965517242</v>
      </c>
      <c r="G12" s="28"/>
      <c r="H12" s="25">
        <f>IF(A12&gt;70,VLOOKUP(70,'Reference BMD Data'!A$6:R$66,17),VLOOKUP(A12,'Reference BMD Data'!A$6:R$66,17))</f>
        <v>0.93700000000000006</v>
      </c>
      <c r="I12" s="25">
        <f>IF(A12&gt;70,VLOOKUP(70,'Reference BMD Data'!A$6:R$66,18),VLOOKUP(A12,'Reference BMD Data'!A$6:R$66,18))</f>
        <v>0.17</v>
      </c>
      <c r="J12" s="21">
        <f>(G12-'Reference BMD Data'!Q$21)/'Reference BMD Data'!R$21</f>
        <v>-5.5117647058823529</v>
      </c>
      <c r="K12" s="21">
        <f t="shared" si="1"/>
        <v>-5.5117647058823529</v>
      </c>
    </row>
    <row r="13" spans="1:11" ht="15" thickBot="1" x14ac:dyDescent="0.4">
      <c r="A13" s="7">
        <v>25</v>
      </c>
      <c r="B13" s="27"/>
      <c r="C13" s="25">
        <f>IF(A13&gt;70,VLOOKUP(70,'Reference BMD Data'!A$6:M$66,12),VLOOKUP(A13,'Reference BMD Data'!A$6:M$66,12))</f>
        <v>1.028</v>
      </c>
      <c r="D13" s="25">
        <f>IF(A13&gt;70,VLOOKUP(70,'Reference BMD Data'!A$6:M$66,13),VLOOKUP(A13,'Reference BMD Data'!A$6:M$66,13))</f>
        <v>0.11600000000000001</v>
      </c>
      <c r="E13" s="21">
        <f>(B13-'Reference BMD Data'!L$21)/'Reference BMD Data'!M$21</f>
        <v>-8.862068965517242</v>
      </c>
      <c r="F13" s="21">
        <f t="shared" si="0"/>
        <v>-8.862068965517242</v>
      </c>
      <c r="G13" s="28"/>
      <c r="H13" s="25">
        <f>IF(A13&gt;70,VLOOKUP(70,'Reference BMD Data'!A$6:R$66,17),VLOOKUP(A13,'Reference BMD Data'!A$6:R$66,17))</f>
        <v>0.93700000000000006</v>
      </c>
      <c r="I13" s="25">
        <f>IF(A13&gt;70,VLOOKUP(70,'Reference BMD Data'!A$6:R$66,18),VLOOKUP(A13,'Reference BMD Data'!A$6:R$66,18))</f>
        <v>0.17</v>
      </c>
      <c r="J13" s="21">
        <f>(G13-'Reference BMD Data'!Q$21)/'Reference BMD Data'!R$21</f>
        <v>-5.5117647058823529</v>
      </c>
      <c r="K13" s="21">
        <f t="shared" si="1"/>
        <v>-5.5117647058823529</v>
      </c>
    </row>
    <row r="14" spans="1:11" ht="15" thickBot="1" x14ac:dyDescent="0.4">
      <c r="A14" s="7">
        <v>25</v>
      </c>
      <c r="B14" s="27"/>
      <c r="C14" s="25">
        <f>IF(A14&gt;70,VLOOKUP(70,'Reference BMD Data'!A$6:M$66,12),VLOOKUP(A14,'Reference BMD Data'!A$6:M$66,12))</f>
        <v>1.028</v>
      </c>
      <c r="D14" s="25">
        <f>IF(A14&gt;70,VLOOKUP(70,'Reference BMD Data'!A$6:M$66,13),VLOOKUP(A14,'Reference BMD Data'!A$6:M$66,13))</f>
        <v>0.11600000000000001</v>
      </c>
      <c r="E14" s="21">
        <f>(B14-'Reference BMD Data'!L$21)/'Reference BMD Data'!M$21</f>
        <v>-8.862068965517242</v>
      </c>
      <c r="F14" s="21">
        <f t="shared" si="0"/>
        <v>-8.862068965517242</v>
      </c>
      <c r="G14" s="28"/>
      <c r="H14" s="25">
        <f>IF(A14&gt;70,VLOOKUP(70,'Reference BMD Data'!A$6:R$66,17),VLOOKUP(A14,'Reference BMD Data'!A$6:R$66,17))</f>
        <v>0.93700000000000006</v>
      </c>
      <c r="I14" s="25">
        <f>IF(A14&gt;70,VLOOKUP(70,'Reference BMD Data'!A$6:R$66,18),VLOOKUP(A14,'Reference BMD Data'!A$6:R$66,18))</f>
        <v>0.17</v>
      </c>
      <c r="J14" s="21">
        <f>(G14-'Reference BMD Data'!Q$21)/'Reference BMD Data'!R$21</f>
        <v>-5.5117647058823529</v>
      </c>
      <c r="K14" s="21">
        <f t="shared" si="1"/>
        <v>-5.5117647058823529</v>
      </c>
    </row>
    <row r="15" spans="1:11" ht="15" thickBot="1" x14ac:dyDescent="0.4">
      <c r="A15" s="7">
        <v>25</v>
      </c>
      <c r="B15" s="27"/>
      <c r="C15" s="25">
        <f>IF(A15&gt;70,VLOOKUP(70,'Reference BMD Data'!A$6:M$66,12),VLOOKUP(A15,'Reference BMD Data'!A$6:M$66,12))</f>
        <v>1.028</v>
      </c>
      <c r="D15" s="25">
        <f>IF(A15&gt;70,VLOOKUP(70,'Reference BMD Data'!A$6:M$66,13),VLOOKUP(A15,'Reference BMD Data'!A$6:M$66,13))</f>
        <v>0.11600000000000001</v>
      </c>
      <c r="E15" s="21">
        <f>(B15-'Reference BMD Data'!L$21)/'Reference BMD Data'!M$21</f>
        <v>-8.862068965517242</v>
      </c>
      <c r="F15" s="21">
        <f t="shared" si="0"/>
        <v>-8.862068965517242</v>
      </c>
      <c r="G15" s="28"/>
      <c r="H15" s="25">
        <f>IF(A15&gt;70,VLOOKUP(70,'Reference BMD Data'!A$6:R$66,17),VLOOKUP(A15,'Reference BMD Data'!A$6:R$66,17))</f>
        <v>0.93700000000000006</v>
      </c>
      <c r="I15" s="25">
        <f>IF(A15&gt;70,VLOOKUP(70,'Reference BMD Data'!A$6:R$66,18),VLOOKUP(A15,'Reference BMD Data'!A$6:R$66,18))</f>
        <v>0.17</v>
      </c>
      <c r="J15" s="21">
        <f>(G15-'Reference BMD Data'!Q$21)/'Reference BMD Data'!R$21</f>
        <v>-5.5117647058823529</v>
      </c>
      <c r="K15" s="21">
        <f t="shared" si="1"/>
        <v>-5.5117647058823529</v>
      </c>
    </row>
    <row r="16" spans="1:11" ht="15" thickBot="1" x14ac:dyDescent="0.4">
      <c r="A16" s="7">
        <v>25</v>
      </c>
      <c r="B16" s="27"/>
      <c r="C16" s="25">
        <f>IF(A16&gt;70,VLOOKUP(70,'Reference BMD Data'!A$6:M$66,12),VLOOKUP(A16,'Reference BMD Data'!A$6:M$66,12))</f>
        <v>1.028</v>
      </c>
      <c r="D16" s="25">
        <f>IF(A16&gt;70,VLOOKUP(70,'Reference BMD Data'!A$6:M$66,13),VLOOKUP(A16,'Reference BMD Data'!A$6:M$66,13))</f>
        <v>0.11600000000000001</v>
      </c>
      <c r="E16" s="21">
        <f>(B16-'Reference BMD Data'!L$21)/'Reference BMD Data'!M$21</f>
        <v>-8.862068965517242</v>
      </c>
      <c r="F16" s="21">
        <f t="shared" si="0"/>
        <v>-8.862068965517242</v>
      </c>
      <c r="G16" s="28"/>
      <c r="H16" s="25">
        <f>IF(A16&gt;70,VLOOKUP(70,'Reference BMD Data'!A$6:R$66,17),VLOOKUP(A16,'Reference BMD Data'!A$6:R$66,17))</f>
        <v>0.93700000000000006</v>
      </c>
      <c r="I16" s="25">
        <f>IF(A16&gt;70,VLOOKUP(70,'Reference BMD Data'!A$6:R$66,18),VLOOKUP(A16,'Reference BMD Data'!A$6:R$66,18))</f>
        <v>0.17</v>
      </c>
      <c r="J16" s="21">
        <f>(G16-'Reference BMD Data'!Q$21)/'Reference BMD Data'!R$21</f>
        <v>-5.5117647058823529</v>
      </c>
      <c r="K16" s="21">
        <f t="shared" si="1"/>
        <v>-5.5117647058823529</v>
      </c>
    </row>
    <row r="17" spans="1:11" ht="15" thickBot="1" x14ac:dyDescent="0.4">
      <c r="A17" s="7">
        <v>25</v>
      </c>
      <c r="B17" s="27"/>
      <c r="C17" s="25">
        <f>IF(A17&gt;70,VLOOKUP(70,'Reference BMD Data'!A$6:M$66,12),VLOOKUP(A17,'Reference BMD Data'!A$6:M$66,12))</f>
        <v>1.028</v>
      </c>
      <c r="D17" s="25">
        <f>IF(A17&gt;70,VLOOKUP(70,'Reference BMD Data'!A$6:M$66,13),VLOOKUP(A17,'Reference BMD Data'!A$6:M$66,13))</f>
        <v>0.11600000000000001</v>
      </c>
      <c r="E17" s="21">
        <f>(B17-'Reference BMD Data'!L$21)/'Reference BMD Data'!M$21</f>
        <v>-8.862068965517242</v>
      </c>
      <c r="F17" s="21">
        <f t="shared" si="0"/>
        <v>-8.862068965517242</v>
      </c>
      <c r="G17" s="28"/>
      <c r="H17" s="25">
        <f>IF(A17&gt;70,VLOOKUP(70,'Reference BMD Data'!A$6:R$66,17),VLOOKUP(A17,'Reference BMD Data'!A$6:R$66,17))</f>
        <v>0.93700000000000006</v>
      </c>
      <c r="I17" s="25">
        <f>IF(A17&gt;70,VLOOKUP(70,'Reference BMD Data'!A$6:R$66,18),VLOOKUP(A17,'Reference BMD Data'!A$6:R$66,18))</f>
        <v>0.17</v>
      </c>
      <c r="J17" s="21">
        <f>(G17-'Reference BMD Data'!Q$21)/'Reference BMD Data'!R$21</f>
        <v>-5.5117647058823529</v>
      </c>
      <c r="K17" s="21">
        <f t="shared" si="1"/>
        <v>-5.5117647058823529</v>
      </c>
    </row>
    <row r="18" spans="1:11" ht="15" thickBot="1" x14ac:dyDescent="0.4">
      <c r="A18" s="7">
        <v>25</v>
      </c>
      <c r="B18" s="27"/>
      <c r="C18" s="25">
        <f>IF(A18&gt;70,VLOOKUP(70,'Reference BMD Data'!A$6:M$66,12),VLOOKUP(A18,'Reference BMD Data'!A$6:M$66,12))</f>
        <v>1.028</v>
      </c>
      <c r="D18" s="25">
        <f>IF(A18&gt;70,VLOOKUP(70,'Reference BMD Data'!A$6:M$66,13),VLOOKUP(A18,'Reference BMD Data'!A$6:M$66,13))</f>
        <v>0.11600000000000001</v>
      </c>
      <c r="E18" s="21">
        <f>(B18-'Reference BMD Data'!L$21)/'Reference BMD Data'!M$21</f>
        <v>-8.862068965517242</v>
      </c>
      <c r="F18" s="21">
        <f t="shared" si="0"/>
        <v>-8.862068965517242</v>
      </c>
      <c r="G18" s="28"/>
      <c r="H18" s="25">
        <f>IF(A18&gt;70,VLOOKUP(70,'Reference BMD Data'!A$6:R$66,17),VLOOKUP(A18,'Reference BMD Data'!A$6:R$66,17))</f>
        <v>0.93700000000000006</v>
      </c>
      <c r="I18" s="25">
        <f>IF(A18&gt;70,VLOOKUP(70,'Reference BMD Data'!A$6:R$66,18),VLOOKUP(A18,'Reference BMD Data'!A$6:R$66,18))</f>
        <v>0.17</v>
      </c>
      <c r="J18" s="21">
        <f>(G18-'Reference BMD Data'!Q$21)/'Reference BMD Data'!R$21</f>
        <v>-5.5117647058823529</v>
      </c>
      <c r="K18" s="21">
        <f t="shared" si="1"/>
        <v>-5.5117647058823529</v>
      </c>
    </row>
    <row r="19" spans="1:11" ht="15" thickBot="1" x14ac:dyDescent="0.4">
      <c r="A19" s="7">
        <v>25</v>
      </c>
      <c r="B19" s="27"/>
      <c r="C19" s="25">
        <f>IF(A19&gt;70,VLOOKUP(70,'Reference BMD Data'!A$6:M$66,12),VLOOKUP(A19,'Reference BMD Data'!A$6:M$66,12))</f>
        <v>1.028</v>
      </c>
      <c r="D19" s="25">
        <f>IF(A19&gt;70,VLOOKUP(70,'Reference BMD Data'!A$6:M$66,13),VLOOKUP(A19,'Reference BMD Data'!A$6:M$66,13))</f>
        <v>0.11600000000000001</v>
      </c>
      <c r="E19" s="21">
        <f>(B19-'Reference BMD Data'!L$21)/'Reference BMD Data'!M$21</f>
        <v>-8.862068965517242</v>
      </c>
      <c r="F19" s="21">
        <f t="shared" si="0"/>
        <v>-8.862068965517242</v>
      </c>
      <c r="G19" s="28"/>
      <c r="H19" s="25">
        <f>IF(A19&gt;70,VLOOKUP(70,'Reference BMD Data'!A$6:R$66,17),VLOOKUP(A19,'Reference BMD Data'!A$6:R$66,17))</f>
        <v>0.93700000000000006</v>
      </c>
      <c r="I19" s="25">
        <f>IF(A19&gt;70,VLOOKUP(70,'Reference BMD Data'!A$6:R$66,18),VLOOKUP(A19,'Reference BMD Data'!A$6:R$66,18))</f>
        <v>0.17</v>
      </c>
      <c r="J19" s="21">
        <f>(G19-'Reference BMD Data'!Q$21)/'Reference BMD Data'!R$21</f>
        <v>-5.5117647058823529</v>
      </c>
      <c r="K19" s="21">
        <f t="shared" si="1"/>
        <v>-5.5117647058823529</v>
      </c>
    </row>
    <row r="21" spans="1:11" x14ac:dyDescent="0.35">
      <c r="A21" s="2" t="s">
        <v>19</v>
      </c>
    </row>
    <row r="22" spans="1:11" s="2" customFormat="1" x14ac:dyDescent="0.35">
      <c r="A22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s="2" customFormat="1" x14ac:dyDescent="0.35">
      <c r="A23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s="2" customFormat="1" ht="31.5" customHeight="1" x14ac:dyDescent="0.35">
      <c r="A24"/>
      <c r="B24" s="5"/>
      <c r="C24" s="5"/>
      <c r="D24" s="5"/>
      <c r="E24" s="5"/>
      <c r="F24" s="5"/>
      <c r="G24" s="5"/>
      <c r="H24" s="5"/>
      <c r="I24" s="5"/>
      <c r="J24" s="5"/>
      <c r="K24" s="5"/>
    </row>
  </sheetData>
  <mergeCells count="4">
    <mergeCell ref="A7:K7"/>
    <mergeCell ref="A8:A9"/>
    <mergeCell ref="B8:F8"/>
    <mergeCell ref="G8:K8"/>
  </mergeCells>
  <conditionalFormatting sqref="F10:F19">
    <cfRule type="expression" dxfId="3" priority="3">
      <formula>A10&lt;15</formula>
    </cfRule>
    <cfRule type="expression" dxfId="2" priority="4">
      <formula>A10&gt;70</formula>
    </cfRule>
  </conditionalFormatting>
  <conditionalFormatting sqref="K10:K19">
    <cfRule type="expression" dxfId="1" priority="1">
      <formula>A10&lt;15</formula>
    </cfRule>
    <cfRule type="expression" dxfId="0" priority="2">
      <formula>A10&gt;70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U14" sqref="U14"/>
    </sheetView>
  </sheetViews>
  <sheetFormatPr defaultRowHeight="14.5" x14ac:dyDescent="0.35"/>
  <cols>
    <col min="1" max="1" width="9.1796875" style="11"/>
    <col min="2" max="5" width="9.1796875" style="5"/>
    <col min="6" max="6" width="1.1796875" style="5" customWidth="1"/>
    <col min="7" max="10" width="9.1796875" style="5"/>
    <col min="11" max="11" width="1.1796875" style="16" customWidth="1"/>
    <col min="12" max="15" width="9.1796875" style="5"/>
    <col min="16" max="16" width="1" style="5" customWidth="1"/>
    <col min="17" max="20" width="9.1796875" style="5"/>
    <col min="21" max="21" width="1" style="5" customWidth="1"/>
  </cols>
  <sheetData>
    <row r="1" spans="1:21" s="1" customFormat="1" ht="18.5" x14ac:dyDescent="0.45">
      <c r="A1" s="12" t="s">
        <v>5</v>
      </c>
      <c r="B1" s="3"/>
      <c r="C1" s="3"/>
      <c r="D1" s="3"/>
      <c r="E1" s="3"/>
      <c r="F1" s="3"/>
      <c r="G1" s="3"/>
      <c r="H1" s="3"/>
      <c r="I1" s="3"/>
      <c r="J1" s="3"/>
      <c r="K1" s="13"/>
      <c r="L1" s="3"/>
      <c r="M1" s="3"/>
      <c r="N1" s="3"/>
      <c r="O1" s="3"/>
      <c r="P1" s="3"/>
      <c r="Q1" s="3"/>
      <c r="R1" s="3"/>
      <c r="S1" s="3"/>
      <c r="T1" s="3"/>
      <c r="U1" s="3"/>
    </row>
    <row r="3" spans="1:21" x14ac:dyDescent="0.35">
      <c r="B3" s="38" t="s">
        <v>6</v>
      </c>
      <c r="C3" s="38"/>
      <c r="D3" s="38"/>
      <c r="E3" s="38"/>
      <c r="F3" s="38"/>
      <c r="G3" s="38"/>
      <c r="H3" s="38"/>
      <c r="I3" s="38"/>
      <c r="J3" s="38"/>
      <c r="K3" s="38"/>
      <c r="L3" s="39" t="s">
        <v>7</v>
      </c>
      <c r="M3" s="39"/>
      <c r="N3" s="39"/>
      <c r="O3" s="39"/>
      <c r="P3" s="39"/>
      <c r="Q3" s="39"/>
      <c r="R3" s="39"/>
      <c r="S3" s="39"/>
      <c r="T3" s="39"/>
      <c r="U3" s="39"/>
    </row>
    <row r="4" spans="1:21" s="2" customFormat="1" x14ac:dyDescent="0.35">
      <c r="A4" s="40" t="s">
        <v>0</v>
      </c>
      <c r="B4" s="37" t="s">
        <v>1</v>
      </c>
      <c r="C4" s="37"/>
      <c r="D4" s="37"/>
      <c r="E4" s="37"/>
      <c r="F4" s="19"/>
      <c r="G4" s="37" t="s">
        <v>4</v>
      </c>
      <c r="H4" s="37"/>
      <c r="I4" s="37"/>
      <c r="J4" s="37"/>
      <c r="K4" s="14"/>
      <c r="L4" s="37" t="s">
        <v>1</v>
      </c>
      <c r="M4" s="37"/>
      <c r="N4" s="37"/>
      <c r="O4" s="37"/>
      <c r="P4" s="4"/>
      <c r="Q4" s="37" t="s">
        <v>4</v>
      </c>
      <c r="R4" s="37"/>
      <c r="S4" s="37"/>
      <c r="T4" s="37"/>
      <c r="U4" s="4"/>
    </row>
    <row r="5" spans="1:21" s="2" customFormat="1" x14ac:dyDescent="0.35">
      <c r="A5" s="40"/>
      <c r="B5" s="4" t="s">
        <v>2</v>
      </c>
      <c r="C5" s="4" t="s">
        <v>3</v>
      </c>
      <c r="D5" s="6" t="s">
        <v>17</v>
      </c>
      <c r="E5" s="6" t="s">
        <v>18</v>
      </c>
      <c r="F5" s="6"/>
      <c r="G5" s="4" t="s">
        <v>2</v>
      </c>
      <c r="H5" s="4" t="s">
        <v>3</v>
      </c>
      <c r="I5" s="6" t="s">
        <v>17</v>
      </c>
      <c r="J5" s="6" t="s">
        <v>18</v>
      </c>
      <c r="K5" s="15"/>
      <c r="L5" s="4" t="s">
        <v>2</v>
      </c>
      <c r="M5" s="4" t="s">
        <v>3</v>
      </c>
      <c r="N5" s="6" t="s">
        <v>17</v>
      </c>
      <c r="O5" s="6" t="s">
        <v>18</v>
      </c>
      <c r="P5" s="6"/>
      <c r="Q5" s="4" t="s">
        <v>2</v>
      </c>
      <c r="R5" s="4" t="s">
        <v>3</v>
      </c>
      <c r="S5" s="6" t="s">
        <v>17</v>
      </c>
      <c r="T5" s="6" t="s">
        <v>18</v>
      </c>
      <c r="U5" s="6"/>
    </row>
    <row r="6" spans="1:21" x14ac:dyDescent="0.35">
      <c r="A6" s="11">
        <v>10</v>
      </c>
      <c r="B6" s="5">
        <v>1.0489999999999999</v>
      </c>
      <c r="C6" s="5">
        <v>0.153</v>
      </c>
      <c r="D6" s="5">
        <f>B6+2*C6</f>
        <v>1.355</v>
      </c>
      <c r="E6" s="5">
        <f>B6-2*C6</f>
        <v>0.74299999999999988</v>
      </c>
      <c r="F6" s="5">
        <v>0</v>
      </c>
      <c r="G6" s="5">
        <v>0.94699999999999995</v>
      </c>
      <c r="H6" s="5">
        <v>0.19</v>
      </c>
      <c r="I6" s="5">
        <f>G6+2*H6</f>
        <v>1.327</v>
      </c>
      <c r="J6" s="5">
        <f>G6-2*H6</f>
        <v>0.56699999999999995</v>
      </c>
      <c r="K6" s="5">
        <v>0</v>
      </c>
      <c r="L6" s="5">
        <v>1.022</v>
      </c>
      <c r="M6" s="5">
        <v>0.124</v>
      </c>
      <c r="N6" s="5">
        <f>L6+2*M6</f>
        <v>1.27</v>
      </c>
      <c r="O6" s="5">
        <f>L6-2*M6</f>
        <v>0.77400000000000002</v>
      </c>
      <c r="P6" s="5">
        <v>0</v>
      </c>
      <c r="Q6" s="5">
        <v>0.97399999999999998</v>
      </c>
      <c r="R6" s="5">
        <v>0.182</v>
      </c>
      <c r="S6" s="5">
        <f>Q6+2*R6</f>
        <v>1.3380000000000001</v>
      </c>
      <c r="T6" s="5">
        <f>Q6-2*R6</f>
        <v>0.61</v>
      </c>
      <c r="U6" s="5">
        <v>0</v>
      </c>
    </row>
    <row r="7" spans="1:21" x14ac:dyDescent="0.35">
      <c r="A7" s="11">
        <v>11</v>
      </c>
      <c r="B7" s="5">
        <v>1.0529999999999999</v>
      </c>
      <c r="C7" s="5">
        <v>0.151</v>
      </c>
      <c r="D7" s="5">
        <f t="shared" ref="D7:D66" si="0">B7+2*C7</f>
        <v>1.355</v>
      </c>
      <c r="E7" s="5">
        <f t="shared" ref="E7:E66" si="1">B7-2*C7</f>
        <v>0.75099999999999989</v>
      </c>
      <c r="F7" s="5">
        <v>0</v>
      </c>
      <c r="G7" s="5">
        <v>0.94699999999999995</v>
      </c>
      <c r="H7" s="5">
        <v>0.188</v>
      </c>
      <c r="I7" s="5">
        <f t="shared" ref="I7:I66" si="2">G7+2*H7</f>
        <v>1.323</v>
      </c>
      <c r="J7" s="5">
        <f t="shared" ref="J7:J66" si="3">G7-2*H7</f>
        <v>0.57099999999999995</v>
      </c>
      <c r="K7" s="5">
        <v>0</v>
      </c>
      <c r="L7" s="5">
        <v>1.022</v>
      </c>
      <c r="M7" s="5">
        <v>0.123</v>
      </c>
      <c r="N7" s="5">
        <f t="shared" ref="N7:N66" si="4">L7+2*M7</f>
        <v>1.268</v>
      </c>
      <c r="O7" s="5">
        <f t="shared" ref="O7:O66" si="5">L7-2*M7</f>
        <v>0.77600000000000002</v>
      </c>
      <c r="P7" s="5">
        <v>0</v>
      </c>
      <c r="Q7" s="5">
        <v>0.97199999999999998</v>
      </c>
      <c r="R7" s="5">
        <v>0.18099999999999999</v>
      </c>
      <c r="S7" s="5">
        <f t="shared" ref="S7:S66" si="6">Q7+2*R7</f>
        <v>1.3340000000000001</v>
      </c>
      <c r="T7" s="5">
        <f t="shared" ref="T7:T66" si="7">Q7-2*R7</f>
        <v>0.61</v>
      </c>
      <c r="U7" s="5">
        <v>0</v>
      </c>
    </row>
    <row r="8" spans="1:21" x14ac:dyDescent="0.35">
      <c r="A8" s="11">
        <v>12</v>
      </c>
      <c r="B8" s="5">
        <v>1.056</v>
      </c>
      <c r="C8" s="5">
        <v>0.15</v>
      </c>
      <c r="D8" s="5">
        <f t="shared" si="0"/>
        <v>1.3560000000000001</v>
      </c>
      <c r="E8" s="5">
        <f t="shared" si="1"/>
        <v>0.75600000000000001</v>
      </c>
      <c r="F8" s="5">
        <v>0</v>
      </c>
      <c r="G8" s="5">
        <v>0.94699999999999995</v>
      </c>
      <c r="H8" s="5">
        <v>0.187</v>
      </c>
      <c r="I8" s="5">
        <f t="shared" si="2"/>
        <v>1.321</v>
      </c>
      <c r="J8" s="5">
        <f t="shared" si="3"/>
        <v>0.57299999999999995</v>
      </c>
      <c r="K8" s="5">
        <v>0</v>
      </c>
      <c r="L8" s="5">
        <v>1.0229999999999999</v>
      </c>
      <c r="M8" s="5">
        <v>0.123</v>
      </c>
      <c r="N8" s="5">
        <f t="shared" si="4"/>
        <v>1.2689999999999999</v>
      </c>
      <c r="O8" s="5">
        <f t="shared" si="5"/>
        <v>0.77699999999999991</v>
      </c>
      <c r="P8" s="5">
        <v>0</v>
      </c>
      <c r="Q8" s="5">
        <v>0.96899999999999997</v>
      </c>
      <c r="R8" s="5">
        <v>0.18</v>
      </c>
      <c r="S8" s="5">
        <f t="shared" si="6"/>
        <v>1.329</v>
      </c>
      <c r="T8" s="5">
        <f t="shared" si="7"/>
        <v>0.60899999999999999</v>
      </c>
      <c r="U8" s="5">
        <v>0</v>
      </c>
    </row>
    <row r="9" spans="1:21" x14ac:dyDescent="0.35">
      <c r="A9" s="11">
        <v>13</v>
      </c>
      <c r="B9" s="5">
        <v>1.06</v>
      </c>
      <c r="C9" s="5">
        <v>0.14899999999999999</v>
      </c>
      <c r="D9" s="5">
        <f t="shared" si="0"/>
        <v>1.3580000000000001</v>
      </c>
      <c r="E9" s="5">
        <f t="shared" si="1"/>
        <v>0.76200000000000001</v>
      </c>
      <c r="F9" s="5">
        <v>0</v>
      </c>
      <c r="G9" s="5">
        <v>0.94699999999999995</v>
      </c>
      <c r="H9" s="5">
        <v>0.186</v>
      </c>
      <c r="I9" s="5">
        <f t="shared" si="2"/>
        <v>1.319</v>
      </c>
      <c r="J9" s="5">
        <f t="shared" si="3"/>
        <v>0.57499999999999996</v>
      </c>
      <c r="K9" s="5">
        <v>0</v>
      </c>
      <c r="L9" s="5">
        <v>1.0229999999999999</v>
      </c>
      <c r="M9" s="5">
        <v>0.122</v>
      </c>
      <c r="N9" s="5">
        <f t="shared" si="4"/>
        <v>1.2669999999999999</v>
      </c>
      <c r="O9" s="5">
        <f t="shared" si="5"/>
        <v>0.77899999999999991</v>
      </c>
      <c r="P9" s="5">
        <v>0</v>
      </c>
      <c r="Q9" s="5">
        <v>0.96699999999999997</v>
      </c>
      <c r="R9" s="5">
        <v>0.17899999999999999</v>
      </c>
      <c r="S9" s="5">
        <f t="shared" si="6"/>
        <v>1.325</v>
      </c>
      <c r="T9" s="5">
        <f t="shared" si="7"/>
        <v>0.60899999999999999</v>
      </c>
      <c r="U9" s="5">
        <v>0</v>
      </c>
    </row>
    <row r="10" spans="1:21" x14ac:dyDescent="0.35">
      <c r="A10" s="11">
        <v>14</v>
      </c>
      <c r="B10" s="5">
        <v>1.0629999999999999</v>
      </c>
      <c r="C10" s="5">
        <v>0.14799999999999999</v>
      </c>
      <c r="D10" s="5">
        <f t="shared" si="0"/>
        <v>1.359</v>
      </c>
      <c r="E10" s="5">
        <f t="shared" si="1"/>
        <v>0.7669999999999999</v>
      </c>
      <c r="F10" s="5">
        <v>0</v>
      </c>
      <c r="G10" s="5">
        <v>0.94699999999999995</v>
      </c>
      <c r="H10" s="5">
        <v>0.184</v>
      </c>
      <c r="I10" s="5">
        <f t="shared" si="2"/>
        <v>1.3149999999999999</v>
      </c>
      <c r="J10" s="5">
        <f t="shared" si="3"/>
        <v>0.57899999999999996</v>
      </c>
      <c r="K10" s="5">
        <v>0</v>
      </c>
      <c r="L10" s="5">
        <v>1.024</v>
      </c>
      <c r="M10" s="5">
        <v>0.121</v>
      </c>
      <c r="N10" s="5">
        <f t="shared" si="4"/>
        <v>1.266</v>
      </c>
      <c r="O10" s="5">
        <f t="shared" si="5"/>
        <v>0.78200000000000003</v>
      </c>
      <c r="P10" s="5">
        <v>0</v>
      </c>
      <c r="Q10" s="5">
        <v>0.96399999999999997</v>
      </c>
      <c r="R10" s="5">
        <v>0.17799999999999999</v>
      </c>
      <c r="S10" s="5">
        <f t="shared" si="6"/>
        <v>1.3199999999999998</v>
      </c>
      <c r="T10" s="5">
        <f t="shared" si="7"/>
        <v>0.60799999999999998</v>
      </c>
      <c r="U10" s="5">
        <v>0</v>
      </c>
    </row>
    <row r="11" spans="1:21" x14ac:dyDescent="0.35">
      <c r="A11" s="11">
        <v>15</v>
      </c>
      <c r="B11" s="5">
        <v>1.0669999999999999</v>
      </c>
      <c r="C11" s="5">
        <v>0.14699999999999999</v>
      </c>
      <c r="D11" s="5">
        <f t="shared" si="0"/>
        <v>1.361</v>
      </c>
      <c r="E11" s="5">
        <f t="shared" si="1"/>
        <v>0.77299999999999991</v>
      </c>
      <c r="F11" s="5">
        <f>IFERROR(VLOOKUP(A11,'Calculator - Males'!A$10:B$19,2,FALSE),0)</f>
        <v>0</v>
      </c>
      <c r="G11" s="5">
        <v>0.94699999999999995</v>
      </c>
      <c r="H11" s="5">
        <v>0.183</v>
      </c>
      <c r="I11" s="5">
        <f t="shared" si="2"/>
        <v>1.3129999999999999</v>
      </c>
      <c r="J11" s="5">
        <f t="shared" si="3"/>
        <v>0.58099999999999996</v>
      </c>
      <c r="K11" s="5">
        <f>IFERROR(VLOOKUP(A11,'Calculator - Males'!A$10:G$19,7,FALSE),0)</f>
        <v>0</v>
      </c>
      <c r="L11" s="5">
        <v>1.024</v>
      </c>
      <c r="M11" s="5">
        <v>0.121</v>
      </c>
      <c r="N11" s="5">
        <f t="shared" si="4"/>
        <v>1.266</v>
      </c>
      <c r="O11" s="5">
        <f t="shared" si="5"/>
        <v>0.78200000000000003</v>
      </c>
      <c r="P11" s="5">
        <f>IFERROR(VLOOKUP(A11,'Calculator - Females'!A$10:B$19,2,FALSE),0)</f>
        <v>0</v>
      </c>
      <c r="Q11" s="5">
        <v>0.96199999999999997</v>
      </c>
      <c r="R11" s="5">
        <v>0.17699999999999999</v>
      </c>
      <c r="S11" s="5">
        <f t="shared" si="6"/>
        <v>1.3159999999999998</v>
      </c>
      <c r="T11" s="5">
        <f t="shared" si="7"/>
        <v>0.60799999999999998</v>
      </c>
      <c r="U11" s="5">
        <f>IFERROR(VLOOKUP(A11,'Calculator - Females'!A$10:G$19,7,FALSE),0)</f>
        <v>0</v>
      </c>
    </row>
    <row r="12" spans="1:21" x14ac:dyDescent="0.35">
      <c r="A12" s="11">
        <v>16</v>
      </c>
      <c r="B12" s="5">
        <v>1.071</v>
      </c>
      <c r="C12" s="5">
        <v>0.14599999999999999</v>
      </c>
      <c r="D12" s="5">
        <f t="shared" si="0"/>
        <v>1.363</v>
      </c>
      <c r="E12" s="5">
        <f t="shared" si="1"/>
        <v>0.77899999999999991</v>
      </c>
      <c r="F12" s="5">
        <f>IFERROR(VLOOKUP(A12,'Calculator - Males'!A$10:B$19,2,FALSE),0)</f>
        <v>0</v>
      </c>
      <c r="G12" s="5">
        <v>0.94699999999999995</v>
      </c>
      <c r="H12" s="5">
        <v>0.182</v>
      </c>
      <c r="I12" s="5">
        <f t="shared" si="2"/>
        <v>1.3109999999999999</v>
      </c>
      <c r="J12" s="5">
        <f t="shared" si="3"/>
        <v>0.58299999999999996</v>
      </c>
      <c r="K12" s="5">
        <f>IFERROR(VLOOKUP(A12,'Calculator - Males'!A$10:G$19,7,FALSE),0)</f>
        <v>0</v>
      </c>
      <c r="L12" s="5">
        <v>1.024</v>
      </c>
      <c r="M12" s="5">
        <v>0.12</v>
      </c>
      <c r="N12" s="5">
        <f t="shared" si="4"/>
        <v>1.264</v>
      </c>
      <c r="O12" s="5">
        <f t="shared" si="5"/>
        <v>0.78400000000000003</v>
      </c>
      <c r="P12" s="5">
        <f>IFERROR(VLOOKUP(A12,'Calculator - Females'!A$10:B$19,2,FALSE),0)</f>
        <v>0</v>
      </c>
      <c r="Q12" s="5">
        <v>0.95899999999999996</v>
      </c>
      <c r="R12" s="5">
        <v>0.17599999999999999</v>
      </c>
      <c r="S12" s="5">
        <f t="shared" si="6"/>
        <v>1.3109999999999999</v>
      </c>
      <c r="T12" s="5">
        <f t="shared" si="7"/>
        <v>0.60699999999999998</v>
      </c>
      <c r="U12" s="5">
        <f>IFERROR(VLOOKUP(A12,'Calculator - Females'!A$10:G$19,7,FALSE),0)</f>
        <v>0</v>
      </c>
    </row>
    <row r="13" spans="1:21" x14ac:dyDescent="0.35">
      <c r="A13" s="11">
        <v>17</v>
      </c>
      <c r="B13" s="5">
        <v>1.0740000000000001</v>
      </c>
      <c r="C13" s="5">
        <v>0.14499999999999999</v>
      </c>
      <c r="D13" s="5">
        <f t="shared" si="0"/>
        <v>1.3640000000000001</v>
      </c>
      <c r="E13" s="5">
        <f t="shared" si="1"/>
        <v>0.78400000000000003</v>
      </c>
      <c r="F13" s="5">
        <f>IFERROR(VLOOKUP(A13,'Calculator - Males'!A$10:B$19,2,FALSE),0)</f>
        <v>0</v>
      </c>
      <c r="G13" s="5">
        <v>0.94599999999999995</v>
      </c>
      <c r="H13" s="5">
        <v>0.18099999999999999</v>
      </c>
      <c r="I13" s="5">
        <f t="shared" si="2"/>
        <v>1.3079999999999998</v>
      </c>
      <c r="J13" s="5">
        <f t="shared" si="3"/>
        <v>0.58399999999999996</v>
      </c>
      <c r="K13" s="5">
        <f>IFERROR(VLOOKUP(A13,'Calculator - Males'!A$10:G$19,7,FALSE),0)</f>
        <v>0</v>
      </c>
      <c r="L13" s="5">
        <v>1.0249999999999999</v>
      </c>
      <c r="M13" s="5">
        <v>0.12</v>
      </c>
      <c r="N13" s="5">
        <f t="shared" si="4"/>
        <v>1.2649999999999999</v>
      </c>
      <c r="O13" s="5">
        <f t="shared" si="5"/>
        <v>0.78499999999999992</v>
      </c>
      <c r="P13" s="5">
        <f>IFERROR(VLOOKUP(A13,'Calculator - Females'!A$10:B$19,2,FALSE),0)</f>
        <v>0</v>
      </c>
      <c r="Q13" s="5">
        <v>0.95699999999999996</v>
      </c>
      <c r="R13" s="5">
        <v>0.17499999999999999</v>
      </c>
      <c r="S13" s="5">
        <f t="shared" si="6"/>
        <v>1.3069999999999999</v>
      </c>
      <c r="T13" s="5">
        <f t="shared" si="7"/>
        <v>0.60699999999999998</v>
      </c>
      <c r="U13" s="5">
        <f>IFERROR(VLOOKUP(A13,'Calculator - Females'!A$10:G$19,7,FALSE),0)</f>
        <v>0</v>
      </c>
    </row>
    <row r="14" spans="1:21" x14ac:dyDescent="0.35">
      <c r="A14" s="11">
        <v>18</v>
      </c>
      <c r="B14" s="5">
        <v>1.0780000000000001</v>
      </c>
      <c r="C14" s="5">
        <v>0.14399999999999999</v>
      </c>
      <c r="D14" s="5">
        <f t="shared" si="0"/>
        <v>1.3660000000000001</v>
      </c>
      <c r="E14" s="5">
        <f t="shared" si="1"/>
        <v>0.79</v>
      </c>
      <c r="F14" s="5">
        <f>IFERROR(VLOOKUP(A14,'Calculator - Males'!A$10:B$19,2,FALSE),0)</f>
        <v>0</v>
      </c>
      <c r="G14" s="5">
        <v>0.94599999999999995</v>
      </c>
      <c r="H14" s="5">
        <v>0.18</v>
      </c>
      <c r="I14" s="5">
        <f t="shared" si="2"/>
        <v>1.306</v>
      </c>
      <c r="J14" s="5">
        <f t="shared" si="3"/>
        <v>0.58599999999999997</v>
      </c>
      <c r="K14" s="5">
        <f>IFERROR(VLOOKUP(A14,'Calculator - Males'!A$10:G$19,7,FALSE),0)</f>
        <v>0</v>
      </c>
      <c r="L14" s="5">
        <v>1.0249999999999999</v>
      </c>
      <c r="M14" s="5">
        <v>0.11899999999999999</v>
      </c>
      <c r="N14" s="5">
        <f t="shared" si="4"/>
        <v>1.2629999999999999</v>
      </c>
      <c r="O14" s="5">
        <f t="shared" si="5"/>
        <v>0.78699999999999992</v>
      </c>
      <c r="P14" s="5">
        <f>IFERROR(VLOOKUP(A14,'Calculator - Females'!A$10:B$19,2,FALSE),0)</f>
        <v>0</v>
      </c>
      <c r="Q14" s="5">
        <v>0.95399999999999996</v>
      </c>
      <c r="R14" s="5">
        <v>0.17499999999999999</v>
      </c>
      <c r="S14" s="5">
        <f t="shared" si="6"/>
        <v>1.3039999999999998</v>
      </c>
      <c r="T14" s="5">
        <f t="shared" si="7"/>
        <v>0.60399999999999998</v>
      </c>
      <c r="U14" s="5">
        <f>IFERROR(VLOOKUP(A14,'Calculator - Females'!A$10:G$19,7,FALSE),0)</f>
        <v>0</v>
      </c>
    </row>
    <row r="15" spans="1:21" x14ac:dyDescent="0.35">
      <c r="A15" s="11">
        <v>19</v>
      </c>
      <c r="B15" s="5">
        <v>1.081</v>
      </c>
      <c r="C15" s="5">
        <v>0.14299999999999999</v>
      </c>
      <c r="D15" s="5">
        <f t="shared" si="0"/>
        <v>1.367</v>
      </c>
      <c r="E15" s="5">
        <f t="shared" si="1"/>
        <v>0.79499999999999993</v>
      </c>
      <c r="F15" s="5">
        <f>IFERROR(VLOOKUP(A15,'Calculator - Males'!A$10:B$19,2,FALSE),0)</f>
        <v>0</v>
      </c>
      <c r="G15" s="5">
        <v>0.94599999999999995</v>
      </c>
      <c r="H15" s="5">
        <v>0.17899999999999999</v>
      </c>
      <c r="I15" s="5">
        <f t="shared" si="2"/>
        <v>1.3039999999999998</v>
      </c>
      <c r="J15" s="5">
        <f t="shared" si="3"/>
        <v>0.58799999999999997</v>
      </c>
      <c r="K15" s="5">
        <f>IFERROR(VLOOKUP(A15,'Calculator - Males'!A$10:G$19,7,FALSE),0)</f>
        <v>0</v>
      </c>
      <c r="L15" s="5">
        <v>1.026</v>
      </c>
      <c r="M15" s="5">
        <v>0.11899999999999999</v>
      </c>
      <c r="N15" s="5">
        <f t="shared" si="4"/>
        <v>1.264</v>
      </c>
      <c r="O15" s="5">
        <f t="shared" si="5"/>
        <v>0.78800000000000003</v>
      </c>
      <c r="P15" s="5">
        <f>IFERROR(VLOOKUP(A15,'Calculator - Females'!A$10:B$19,2,FALSE),0)</f>
        <v>0</v>
      </c>
      <c r="Q15" s="5">
        <v>0.95199999999999996</v>
      </c>
      <c r="R15" s="5">
        <v>0.17399999999999999</v>
      </c>
      <c r="S15" s="5">
        <f t="shared" si="6"/>
        <v>1.2999999999999998</v>
      </c>
      <c r="T15" s="5">
        <f t="shared" si="7"/>
        <v>0.60399999999999998</v>
      </c>
      <c r="U15" s="5">
        <f>IFERROR(VLOOKUP(A15,'Calculator - Females'!A$10:G$19,7,FALSE),0)</f>
        <v>0</v>
      </c>
    </row>
    <row r="16" spans="1:21" x14ac:dyDescent="0.35">
      <c r="A16" s="11">
        <v>20</v>
      </c>
      <c r="B16" s="5">
        <v>1.085</v>
      </c>
      <c r="C16" s="5">
        <v>0.14199999999999999</v>
      </c>
      <c r="D16" s="5">
        <f t="shared" si="0"/>
        <v>1.369</v>
      </c>
      <c r="E16" s="5">
        <f t="shared" si="1"/>
        <v>0.80099999999999993</v>
      </c>
      <c r="F16" s="5">
        <f>IFERROR(VLOOKUP(A16,'Calculator - Males'!A$10:B$19,2,FALSE),0)</f>
        <v>0</v>
      </c>
      <c r="G16" s="5">
        <v>0.94599999999999995</v>
      </c>
      <c r="H16" s="5">
        <v>0.17799999999999999</v>
      </c>
      <c r="I16" s="5">
        <f t="shared" si="2"/>
        <v>1.302</v>
      </c>
      <c r="J16" s="5">
        <f t="shared" si="3"/>
        <v>0.59</v>
      </c>
      <c r="K16" s="5">
        <f>IFERROR(VLOOKUP(A16,'Calculator - Males'!A$10:G$19,7,FALSE),0)</f>
        <v>0</v>
      </c>
      <c r="L16" s="5">
        <v>1.026</v>
      </c>
      <c r="M16" s="5">
        <v>0.11799999999999999</v>
      </c>
      <c r="N16" s="5">
        <f t="shared" si="4"/>
        <v>1.262</v>
      </c>
      <c r="O16" s="5">
        <f t="shared" si="5"/>
        <v>0.79</v>
      </c>
      <c r="P16" s="5">
        <f>IFERROR(VLOOKUP(A16,'Calculator - Females'!A$10:B$19,2,FALSE),0)</f>
        <v>0</v>
      </c>
      <c r="Q16" s="5">
        <v>0.95</v>
      </c>
      <c r="R16" s="5">
        <v>0.17299999999999999</v>
      </c>
      <c r="S16" s="5">
        <f t="shared" si="6"/>
        <v>1.2959999999999998</v>
      </c>
      <c r="T16" s="5">
        <f t="shared" si="7"/>
        <v>0.60399999999999998</v>
      </c>
      <c r="U16" s="5">
        <f>IFERROR(VLOOKUP(A16,'Calculator - Females'!A$10:G$19,7,FALSE),0)</f>
        <v>0</v>
      </c>
    </row>
    <row r="17" spans="1:21" x14ac:dyDescent="0.35">
      <c r="A17" s="11">
        <v>21</v>
      </c>
      <c r="B17" s="5">
        <v>1.089</v>
      </c>
      <c r="C17" s="5">
        <v>0.14199999999999999</v>
      </c>
      <c r="D17" s="5">
        <f t="shared" si="0"/>
        <v>1.373</v>
      </c>
      <c r="E17" s="5">
        <f t="shared" si="1"/>
        <v>0.80499999999999994</v>
      </c>
      <c r="F17" s="5">
        <f>IFERROR(VLOOKUP(A17,'Calculator - Males'!A$10:B$19,2,FALSE),0)</f>
        <v>0</v>
      </c>
      <c r="G17" s="5">
        <v>0.94599999999999995</v>
      </c>
      <c r="H17" s="5">
        <v>0.17699999999999999</v>
      </c>
      <c r="I17" s="5">
        <f t="shared" si="2"/>
        <v>1.2999999999999998</v>
      </c>
      <c r="J17" s="5">
        <f t="shared" si="3"/>
        <v>0.59199999999999997</v>
      </c>
      <c r="K17" s="5">
        <f>IFERROR(VLOOKUP(A17,'Calculator - Males'!A$10:G$19,7,FALSE),0)</f>
        <v>0</v>
      </c>
      <c r="L17" s="5">
        <v>1.026</v>
      </c>
      <c r="M17" s="5">
        <v>0.11799999999999999</v>
      </c>
      <c r="N17" s="5">
        <f t="shared" si="4"/>
        <v>1.262</v>
      </c>
      <c r="O17" s="5">
        <f t="shared" si="5"/>
        <v>0.79</v>
      </c>
      <c r="P17" s="5">
        <f>IFERROR(VLOOKUP(A17,'Calculator - Females'!A$10:B$19,2,FALSE),0)</f>
        <v>0</v>
      </c>
      <c r="Q17" s="5">
        <v>0.94699999999999995</v>
      </c>
      <c r="R17" s="5">
        <v>0.17199999999999999</v>
      </c>
      <c r="S17" s="5">
        <f t="shared" si="6"/>
        <v>1.2909999999999999</v>
      </c>
      <c r="T17" s="5">
        <f t="shared" si="7"/>
        <v>0.60299999999999998</v>
      </c>
      <c r="U17" s="5">
        <f>IFERROR(VLOOKUP(A17,'Calculator - Females'!A$10:G$19,7,FALSE),0)</f>
        <v>0</v>
      </c>
    </row>
    <row r="18" spans="1:21" x14ac:dyDescent="0.35">
      <c r="A18" s="11">
        <v>22</v>
      </c>
      <c r="B18" s="5">
        <v>1.0920000000000001</v>
      </c>
      <c r="C18" s="5">
        <v>0.14099999999999999</v>
      </c>
      <c r="D18" s="5">
        <f t="shared" si="0"/>
        <v>1.3740000000000001</v>
      </c>
      <c r="E18" s="5">
        <f t="shared" si="1"/>
        <v>0.81</v>
      </c>
      <c r="F18" s="5">
        <f>IFERROR(VLOOKUP(A18,'Calculator - Males'!A$10:B$19,2,FALSE),0)</f>
        <v>0</v>
      </c>
      <c r="G18" s="5">
        <v>0.94599999999999995</v>
      </c>
      <c r="H18" s="5">
        <v>0.17599999999999999</v>
      </c>
      <c r="I18" s="5">
        <f t="shared" si="2"/>
        <v>1.298</v>
      </c>
      <c r="J18" s="5">
        <f t="shared" si="3"/>
        <v>0.59399999999999997</v>
      </c>
      <c r="K18" s="5">
        <f>IFERROR(VLOOKUP(A18,'Calculator - Males'!A$10:G$19,7,FALSE),0)</f>
        <v>0</v>
      </c>
      <c r="L18" s="5">
        <v>1.0269999999999999</v>
      </c>
      <c r="M18" s="5">
        <v>0.11700000000000001</v>
      </c>
      <c r="N18" s="5">
        <f t="shared" si="4"/>
        <v>1.2609999999999999</v>
      </c>
      <c r="O18" s="5">
        <f t="shared" si="5"/>
        <v>0.79299999999999993</v>
      </c>
      <c r="P18" s="5">
        <f>IFERROR(VLOOKUP(A18,'Calculator - Females'!A$10:B$19,2,FALSE),0)</f>
        <v>0</v>
      </c>
      <c r="Q18" s="5">
        <v>0.94499999999999995</v>
      </c>
      <c r="R18" s="5">
        <v>0.17199999999999999</v>
      </c>
      <c r="S18" s="5">
        <f t="shared" si="6"/>
        <v>1.2889999999999999</v>
      </c>
      <c r="T18" s="5">
        <f t="shared" si="7"/>
        <v>0.60099999999999998</v>
      </c>
      <c r="U18" s="5">
        <f>IFERROR(VLOOKUP(A18,'Calculator - Females'!A$10:G$19,7,FALSE),0)</f>
        <v>0</v>
      </c>
    </row>
    <row r="19" spans="1:21" x14ac:dyDescent="0.35">
      <c r="A19" s="11">
        <v>23</v>
      </c>
      <c r="B19" s="5">
        <v>1.0960000000000001</v>
      </c>
      <c r="C19" s="5">
        <v>0.14000000000000001</v>
      </c>
      <c r="D19" s="5">
        <f t="shared" si="0"/>
        <v>1.3760000000000001</v>
      </c>
      <c r="E19" s="5">
        <f t="shared" si="1"/>
        <v>0.81600000000000006</v>
      </c>
      <c r="F19" s="5">
        <f>IFERROR(VLOOKUP(A19,'Calculator - Males'!A$10:B$19,2,FALSE),0)</f>
        <v>0</v>
      </c>
      <c r="G19" s="5">
        <v>0.94599999999999995</v>
      </c>
      <c r="H19" s="5">
        <v>0.17499999999999999</v>
      </c>
      <c r="I19" s="5">
        <f t="shared" si="2"/>
        <v>1.2959999999999998</v>
      </c>
      <c r="J19" s="5">
        <f t="shared" si="3"/>
        <v>0.59599999999999997</v>
      </c>
      <c r="K19" s="5">
        <f>IFERROR(VLOOKUP(A19,'Calculator - Males'!A$10:G$19,7,FALSE),0)</f>
        <v>0</v>
      </c>
      <c r="L19" s="5">
        <v>1.0269999999999999</v>
      </c>
      <c r="M19" s="5">
        <v>0.11700000000000001</v>
      </c>
      <c r="N19" s="5">
        <f t="shared" si="4"/>
        <v>1.2609999999999999</v>
      </c>
      <c r="O19" s="5">
        <f t="shared" si="5"/>
        <v>0.79299999999999993</v>
      </c>
      <c r="P19" s="5">
        <f>IFERROR(VLOOKUP(A19,'Calculator - Females'!A$10:B$19,2,FALSE),0)</f>
        <v>0</v>
      </c>
      <c r="Q19" s="5">
        <v>0.94199999999999995</v>
      </c>
      <c r="R19" s="5">
        <v>0.17100000000000001</v>
      </c>
      <c r="S19" s="5">
        <f t="shared" si="6"/>
        <v>1.284</v>
      </c>
      <c r="T19" s="5">
        <f t="shared" si="7"/>
        <v>0.59999999999999987</v>
      </c>
      <c r="U19" s="5">
        <f>IFERROR(VLOOKUP(A19,'Calculator - Females'!A$10:G$19,7,FALSE),0)</f>
        <v>0</v>
      </c>
    </row>
    <row r="20" spans="1:21" x14ac:dyDescent="0.35">
      <c r="A20" s="11">
        <v>24</v>
      </c>
      <c r="B20" s="5">
        <v>1.099</v>
      </c>
      <c r="C20" s="5">
        <v>0.13900000000000001</v>
      </c>
      <c r="D20" s="5">
        <f t="shared" si="0"/>
        <v>1.377</v>
      </c>
      <c r="E20" s="5">
        <f t="shared" si="1"/>
        <v>0.82099999999999995</v>
      </c>
      <c r="F20" s="5">
        <f>IFERROR(VLOOKUP(A20,'Calculator - Males'!A$10:B$19,2,FALSE),0)</f>
        <v>0</v>
      </c>
      <c r="G20" s="5">
        <v>0.94599999999999995</v>
      </c>
      <c r="H20" s="5">
        <v>0.17399999999999999</v>
      </c>
      <c r="I20" s="5">
        <f t="shared" si="2"/>
        <v>1.294</v>
      </c>
      <c r="J20" s="5">
        <f t="shared" si="3"/>
        <v>0.59799999999999998</v>
      </c>
      <c r="K20" s="5">
        <f>IFERROR(VLOOKUP(A20,'Calculator - Males'!A$10:G$19,7,FALSE),0)</f>
        <v>0</v>
      </c>
      <c r="L20" s="5">
        <v>1.0269999999999999</v>
      </c>
      <c r="M20" s="5">
        <v>0.11700000000000001</v>
      </c>
      <c r="N20" s="5">
        <f t="shared" si="4"/>
        <v>1.2609999999999999</v>
      </c>
      <c r="O20" s="5">
        <f t="shared" si="5"/>
        <v>0.79299999999999993</v>
      </c>
      <c r="P20" s="5">
        <f>IFERROR(VLOOKUP(A20,'Calculator - Females'!A$10:B$19,2,FALSE),0)</f>
        <v>0</v>
      </c>
      <c r="Q20" s="5">
        <v>0.94</v>
      </c>
      <c r="R20" s="5">
        <v>0.17100000000000001</v>
      </c>
      <c r="S20" s="5">
        <f t="shared" si="6"/>
        <v>1.282</v>
      </c>
      <c r="T20" s="5">
        <f t="shared" si="7"/>
        <v>0.59799999999999986</v>
      </c>
      <c r="U20" s="5">
        <f>IFERROR(VLOOKUP(A20,'Calculator - Females'!A$10:G$19,7,FALSE),0)</f>
        <v>0</v>
      </c>
    </row>
    <row r="21" spans="1:21" x14ac:dyDescent="0.35">
      <c r="A21" s="11">
        <v>25</v>
      </c>
      <c r="B21" s="5">
        <v>1.103</v>
      </c>
      <c r="C21" s="5">
        <v>0.13900000000000001</v>
      </c>
      <c r="D21" s="5">
        <f t="shared" si="0"/>
        <v>1.381</v>
      </c>
      <c r="E21" s="5">
        <f t="shared" si="1"/>
        <v>0.82499999999999996</v>
      </c>
      <c r="F21" s="5">
        <f>IFERROR(VLOOKUP(A21,'Calculator - Males'!A$10:B$19,2,FALSE),0)</f>
        <v>1.103</v>
      </c>
      <c r="G21" s="5">
        <v>0.94599999999999995</v>
      </c>
      <c r="H21" s="5">
        <v>0.17299999999999999</v>
      </c>
      <c r="I21" s="5">
        <f t="shared" si="2"/>
        <v>1.2919999999999998</v>
      </c>
      <c r="J21" s="5">
        <f t="shared" si="3"/>
        <v>0.6</v>
      </c>
      <c r="K21" s="5">
        <f>IFERROR(VLOOKUP(A21,'Calculator - Males'!A$10:G$19,7,FALSE),0)</f>
        <v>0.94599999999999995</v>
      </c>
      <c r="L21" s="5">
        <v>1.028</v>
      </c>
      <c r="M21" s="5">
        <v>0.11600000000000001</v>
      </c>
      <c r="N21" s="5">
        <f t="shared" si="4"/>
        <v>1.26</v>
      </c>
      <c r="O21" s="5">
        <f t="shared" si="5"/>
        <v>0.79600000000000004</v>
      </c>
      <c r="P21" s="5">
        <f>IFERROR(VLOOKUP(A21,'Calculator - Females'!A$10:B$19,2,FALSE),0)</f>
        <v>1.028</v>
      </c>
      <c r="Q21" s="5">
        <v>0.93700000000000006</v>
      </c>
      <c r="R21" s="5">
        <v>0.17</v>
      </c>
      <c r="S21" s="5">
        <f t="shared" si="6"/>
        <v>1.2770000000000001</v>
      </c>
      <c r="T21" s="5">
        <f t="shared" si="7"/>
        <v>0.59699999999999998</v>
      </c>
      <c r="U21" s="5">
        <f>IFERROR(VLOOKUP(A21,'Calculator - Females'!A$10:G$19,7,FALSE),0)</f>
        <v>0.93700000000000006</v>
      </c>
    </row>
    <row r="22" spans="1:21" x14ac:dyDescent="0.35">
      <c r="A22" s="11">
        <v>26</v>
      </c>
      <c r="B22" s="5">
        <v>1.107</v>
      </c>
      <c r="C22" s="5">
        <v>0.13800000000000001</v>
      </c>
      <c r="D22" s="5">
        <f t="shared" si="0"/>
        <v>1.383</v>
      </c>
      <c r="E22" s="5">
        <f t="shared" si="1"/>
        <v>0.83099999999999996</v>
      </c>
      <c r="F22" s="5">
        <f>IFERROR(VLOOKUP(A22,'Calculator - Males'!A$10:B$19,2,FALSE),0)</f>
        <v>0</v>
      </c>
      <c r="G22" s="5">
        <v>0.94599999999999995</v>
      </c>
      <c r="H22" s="5">
        <v>0.17299999999999999</v>
      </c>
      <c r="I22" s="5">
        <f t="shared" si="2"/>
        <v>1.2919999999999998</v>
      </c>
      <c r="J22" s="5">
        <f t="shared" si="3"/>
        <v>0.6</v>
      </c>
      <c r="K22" s="5">
        <f>IFERROR(VLOOKUP(A22,'Calculator - Males'!A$10:G$19,7,FALSE),0)</f>
        <v>0</v>
      </c>
      <c r="L22" s="5">
        <v>1.028</v>
      </c>
      <c r="M22" s="5">
        <v>0.11600000000000001</v>
      </c>
      <c r="N22" s="5">
        <f t="shared" si="4"/>
        <v>1.26</v>
      </c>
      <c r="O22" s="5">
        <f t="shared" si="5"/>
        <v>0.79600000000000004</v>
      </c>
      <c r="P22" s="5">
        <f>IFERROR(VLOOKUP(A22,'Calculator - Females'!A$10:B$19,2,FALSE),0)</f>
        <v>0</v>
      </c>
      <c r="Q22" s="5">
        <v>0.93500000000000005</v>
      </c>
      <c r="R22" s="5">
        <v>0.16900000000000001</v>
      </c>
      <c r="S22" s="5">
        <f t="shared" si="6"/>
        <v>1.2730000000000001</v>
      </c>
      <c r="T22" s="5">
        <f t="shared" si="7"/>
        <v>0.59699999999999998</v>
      </c>
      <c r="U22" s="5">
        <f>IFERROR(VLOOKUP(A22,'Calculator - Females'!A$10:G$19,7,FALSE),0)</f>
        <v>0</v>
      </c>
    </row>
    <row r="23" spans="1:21" x14ac:dyDescent="0.35">
      <c r="A23" s="11">
        <v>27</v>
      </c>
      <c r="B23" s="5">
        <v>1.1100000000000001</v>
      </c>
      <c r="C23" s="5">
        <v>0.13800000000000001</v>
      </c>
      <c r="D23" s="5">
        <f t="shared" si="0"/>
        <v>1.3860000000000001</v>
      </c>
      <c r="E23" s="5">
        <f t="shared" si="1"/>
        <v>0.83400000000000007</v>
      </c>
      <c r="F23" s="5">
        <f>IFERROR(VLOOKUP(A23,'Calculator - Males'!A$10:B$19,2,FALSE),0)</f>
        <v>0</v>
      </c>
      <c r="G23" s="5">
        <v>0.94599999999999995</v>
      </c>
      <c r="H23" s="5">
        <v>0.17199999999999999</v>
      </c>
      <c r="I23" s="5">
        <f t="shared" si="2"/>
        <v>1.29</v>
      </c>
      <c r="J23" s="5">
        <f t="shared" si="3"/>
        <v>0.60199999999999998</v>
      </c>
      <c r="K23" s="5">
        <f>IFERROR(VLOOKUP(A23,'Calculator - Males'!A$10:G$19,7,FALSE),0)</f>
        <v>0</v>
      </c>
      <c r="L23" s="5">
        <v>1.0289999999999999</v>
      </c>
      <c r="M23" s="5">
        <v>0.11600000000000001</v>
      </c>
      <c r="N23" s="5">
        <f t="shared" si="4"/>
        <v>1.2609999999999999</v>
      </c>
      <c r="O23" s="5">
        <f t="shared" si="5"/>
        <v>0.79699999999999993</v>
      </c>
      <c r="P23" s="5">
        <f>IFERROR(VLOOKUP(A23,'Calculator - Females'!A$10:B$19,2,FALSE),0)</f>
        <v>0</v>
      </c>
      <c r="Q23" s="5">
        <v>0.93200000000000005</v>
      </c>
      <c r="R23" s="5">
        <v>0.16900000000000001</v>
      </c>
      <c r="S23" s="5">
        <f t="shared" si="6"/>
        <v>1.27</v>
      </c>
      <c r="T23" s="5">
        <f t="shared" si="7"/>
        <v>0.59400000000000008</v>
      </c>
      <c r="U23" s="5">
        <f>IFERROR(VLOOKUP(A23,'Calculator - Females'!A$10:G$19,7,FALSE),0)</f>
        <v>0</v>
      </c>
    </row>
    <row r="24" spans="1:21" x14ac:dyDescent="0.35">
      <c r="A24" s="11">
        <v>28</v>
      </c>
      <c r="B24" s="5">
        <v>1.1140000000000001</v>
      </c>
      <c r="C24" s="5">
        <v>0.13700000000000001</v>
      </c>
      <c r="D24" s="5">
        <f t="shared" si="0"/>
        <v>1.3880000000000001</v>
      </c>
      <c r="E24" s="5">
        <f t="shared" si="1"/>
        <v>0.84000000000000008</v>
      </c>
      <c r="F24" s="5">
        <f>IFERROR(VLOOKUP(A24,'Calculator - Males'!A$10:B$19,2,FALSE),0)</f>
        <v>0</v>
      </c>
      <c r="G24" s="5">
        <v>0.94599999999999995</v>
      </c>
      <c r="H24" s="5">
        <v>0.17100000000000001</v>
      </c>
      <c r="I24" s="5">
        <f t="shared" si="2"/>
        <v>1.288</v>
      </c>
      <c r="J24" s="5">
        <f t="shared" si="3"/>
        <v>0.60399999999999987</v>
      </c>
      <c r="K24" s="5">
        <f>IFERROR(VLOOKUP(A24,'Calculator - Males'!A$10:G$19,7,FALSE),0)</f>
        <v>0</v>
      </c>
      <c r="L24" s="5">
        <v>1.0289999999999999</v>
      </c>
      <c r="M24" s="5">
        <v>0.115</v>
      </c>
      <c r="N24" s="5">
        <f t="shared" si="4"/>
        <v>1.2589999999999999</v>
      </c>
      <c r="O24" s="5">
        <f t="shared" si="5"/>
        <v>0.79899999999999993</v>
      </c>
      <c r="P24" s="5">
        <f>IFERROR(VLOOKUP(A24,'Calculator - Females'!A$10:B$19,2,FALSE),0)</f>
        <v>0</v>
      </c>
      <c r="Q24" s="5">
        <v>0.93</v>
      </c>
      <c r="R24" s="5">
        <v>0.16800000000000001</v>
      </c>
      <c r="S24" s="5">
        <f t="shared" si="6"/>
        <v>1.266</v>
      </c>
      <c r="T24" s="5">
        <f t="shared" si="7"/>
        <v>0.59400000000000008</v>
      </c>
      <c r="U24" s="5">
        <f>IFERROR(VLOOKUP(A24,'Calculator - Females'!A$10:G$19,7,FALSE),0)</f>
        <v>0</v>
      </c>
    </row>
    <row r="25" spans="1:21" x14ac:dyDescent="0.35">
      <c r="A25" s="11">
        <v>29</v>
      </c>
      <c r="B25" s="5">
        <v>1.117</v>
      </c>
      <c r="C25" s="5">
        <v>0.13700000000000001</v>
      </c>
      <c r="D25" s="5">
        <f t="shared" si="0"/>
        <v>1.391</v>
      </c>
      <c r="E25" s="5">
        <f t="shared" si="1"/>
        <v>0.84299999999999997</v>
      </c>
      <c r="F25" s="5">
        <f>IFERROR(VLOOKUP(A25,'Calculator - Males'!A$10:B$19,2,FALSE),0)</f>
        <v>0</v>
      </c>
      <c r="G25" s="5">
        <v>0.94599999999999995</v>
      </c>
      <c r="H25" s="5">
        <v>0.17100000000000001</v>
      </c>
      <c r="I25" s="5">
        <f t="shared" si="2"/>
        <v>1.288</v>
      </c>
      <c r="J25" s="5">
        <f t="shared" si="3"/>
        <v>0.60399999999999987</v>
      </c>
      <c r="K25" s="5">
        <f>IFERROR(VLOOKUP(A25,'Calculator - Males'!A$10:G$19,7,FALSE),0)</f>
        <v>0</v>
      </c>
      <c r="L25" s="5">
        <v>1.0289999999999999</v>
      </c>
      <c r="M25" s="5">
        <v>0.115</v>
      </c>
      <c r="N25" s="5">
        <f t="shared" si="4"/>
        <v>1.2589999999999999</v>
      </c>
      <c r="O25" s="5">
        <f t="shared" si="5"/>
        <v>0.79899999999999993</v>
      </c>
      <c r="P25" s="5">
        <f>IFERROR(VLOOKUP(A25,'Calculator - Females'!A$10:B$19,2,FALSE),0)</f>
        <v>0</v>
      </c>
      <c r="Q25" s="5">
        <v>0.92700000000000005</v>
      </c>
      <c r="R25" s="5">
        <v>0.16800000000000001</v>
      </c>
      <c r="S25" s="5">
        <f t="shared" si="6"/>
        <v>1.2630000000000001</v>
      </c>
      <c r="T25" s="5">
        <f t="shared" si="7"/>
        <v>0.59099999999999997</v>
      </c>
      <c r="U25" s="5">
        <f>IFERROR(VLOOKUP(A25,'Calculator - Females'!A$10:G$19,7,FALSE),0)</f>
        <v>0</v>
      </c>
    </row>
    <row r="26" spans="1:21" x14ac:dyDescent="0.35">
      <c r="A26" s="11">
        <v>30</v>
      </c>
      <c r="B26" s="5">
        <v>1.121</v>
      </c>
      <c r="C26" s="5">
        <v>0.13600000000000001</v>
      </c>
      <c r="D26" s="5">
        <f t="shared" si="0"/>
        <v>1.393</v>
      </c>
      <c r="E26" s="5">
        <f t="shared" si="1"/>
        <v>0.84899999999999998</v>
      </c>
      <c r="F26" s="5">
        <f>IFERROR(VLOOKUP(A26,'Calculator - Males'!A$10:B$19,2,FALSE),0)</f>
        <v>0</v>
      </c>
      <c r="G26" s="5">
        <v>0.94599999999999995</v>
      </c>
      <c r="H26" s="5">
        <v>0.17</v>
      </c>
      <c r="I26" s="5">
        <f t="shared" si="2"/>
        <v>1.286</v>
      </c>
      <c r="J26" s="5">
        <f t="shared" si="3"/>
        <v>0.60599999999999987</v>
      </c>
      <c r="K26" s="5">
        <f>IFERROR(VLOOKUP(A26,'Calculator - Males'!A$10:G$19,7,FALSE),0)</f>
        <v>0</v>
      </c>
      <c r="L26" s="5">
        <v>1.03</v>
      </c>
      <c r="M26" s="5">
        <v>0.115</v>
      </c>
      <c r="N26" s="5">
        <f t="shared" si="4"/>
        <v>1.26</v>
      </c>
      <c r="O26" s="5">
        <f t="shared" si="5"/>
        <v>0.8</v>
      </c>
      <c r="P26" s="5">
        <f>IFERROR(VLOOKUP(A26,'Calculator - Females'!A$10:B$19,2,FALSE),0)</f>
        <v>0</v>
      </c>
      <c r="Q26" s="5">
        <v>0.92500000000000004</v>
      </c>
      <c r="R26" s="5">
        <v>0.16800000000000001</v>
      </c>
      <c r="S26" s="5">
        <f t="shared" si="6"/>
        <v>1.2610000000000001</v>
      </c>
      <c r="T26" s="5">
        <f t="shared" si="7"/>
        <v>0.58899999999999997</v>
      </c>
      <c r="U26" s="5">
        <f>IFERROR(VLOOKUP(A26,'Calculator - Females'!A$10:G$19,7,FALSE),0)</f>
        <v>0</v>
      </c>
    </row>
    <row r="27" spans="1:21" x14ac:dyDescent="0.35">
      <c r="A27" s="11">
        <v>31</v>
      </c>
      <c r="B27" s="5">
        <v>1.125</v>
      </c>
      <c r="C27" s="5">
        <v>0.13600000000000001</v>
      </c>
      <c r="D27" s="5">
        <f t="shared" si="0"/>
        <v>1.397</v>
      </c>
      <c r="E27" s="5">
        <f t="shared" si="1"/>
        <v>0.85299999999999998</v>
      </c>
      <c r="F27" s="5">
        <f>IFERROR(VLOOKUP(A27,'Calculator - Males'!A$10:B$19,2,FALSE),0)</f>
        <v>0</v>
      </c>
      <c r="G27" s="5">
        <v>0.94599999999999995</v>
      </c>
      <c r="H27" s="5">
        <v>0.17</v>
      </c>
      <c r="I27" s="5">
        <f t="shared" si="2"/>
        <v>1.286</v>
      </c>
      <c r="J27" s="5">
        <f t="shared" si="3"/>
        <v>0.60599999999999987</v>
      </c>
      <c r="K27" s="5">
        <f>IFERROR(VLOOKUP(A27,'Calculator - Males'!A$10:G$19,7,FALSE),0)</f>
        <v>0</v>
      </c>
      <c r="L27" s="5">
        <v>1.03</v>
      </c>
      <c r="M27" s="5">
        <v>0.115</v>
      </c>
      <c r="N27" s="5">
        <f t="shared" si="4"/>
        <v>1.26</v>
      </c>
      <c r="O27" s="5">
        <f t="shared" si="5"/>
        <v>0.8</v>
      </c>
      <c r="P27" s="5">
        <f>IFERROR(VLOOKUP(A27,'Calculator - Females'!A$10:B$19,2,FALSE),0)</f>
        <v>0</v>
      </c>
      <c r="Q27" s="5">
        <v>0.92300000000000004</v>
      </c>
      <c r="R27" s="5">
        <v>0.16700000000000001</v>
      </c>
      <c r="S27" s="5">
        <f t="shared" si="6"/>
        <v>1.2570000000000001</v>
      </c>
      <c r="T27" s="5">
        <f t="shared" si="7"/>
        <v>0.58899999999999997</v>
      </c>
      <c r="U27" s="5">
        <f>IFERROR(VLOOKUP(A27,'Calculator - Females'!A$10:G$19,7,FALSE),0)</f>
        <v>0</v>
      </c>
    </row>
    <row r="28" spans="1:21" x14ac:dyDescent="0.35">
      <c r="A28" s="11">
        <v>32</v>
      </c>
      <c r="B28" s="5">
        <v>1.1279999999999999</v>
      </c>
      <c r="C28" s="5">
        <v>0.13600000000000001</v>
      </c>
      <c r="D28" s="5">
        <f t="shared" si="0"/>
        <v>1.4</v>
      </c>
      <c r="E28" s="5">
        <f t="shared" si="1"/>
        <v>0.85599999999999987</v>
      </c>
      <c r="F28" s="5">
        <f>IFERROR(VLOOKUP(A28,'Calculator - Males'!A$10:B$19,2,FALSE),0)</f>
        <v>0</v>
      </c>
      <c r="G28" s="5">
        <v>0.94599999999999995</v>
      </c>
      <c r="H28" s="5">
        <v>0.17</v>
      </c>
      <c r="I28" s="5">
        <f t="shared" si="2"/>
        <v>1.286</v>
      </c>
      <c r="J28" s="5">
        <f t="shared" si="3"/>
        <v>0.60599999999999987</v>
      </c>
      <c r="K28" s="5">
        <f>IFERROR(VLOOKUP(A28,'Calculator - Males'!A$10:G$19,7,FALSE),0)</f>
        <v>0</v>
      </c>
      <c r="L28" s="5">
        <v>1.0309999999999999</v>
      </c>
      <c r="M28" s="5">
        <v>0.114</v>
      </c>
      <c r="N28" s="5">
        <f t="shared" si="4"/>
        <v>1.2589999999999999</v>
      </c>
      <c r="O28" s="5">
        <f t="shared" si="5"/>
        <v>0.80299999999999994</v>
      </c>
      <c r="P28" s="5">
        <f>IFERROR(VLOOKUP(A28,'Calculator - Females'!A$10:B$19,2,FALSE),0)</f>
        <v>0</v>
      </c>
      <c r="Q28" s="5">
        <v>0.92</v>
      </c>
      <c r="R28" s="5">
        <v>0.16700000000000001</v>
      </c>
      <c r="S28" s="5">
        <f t="shared" si="6"/>
        <v>1.254</v>
      </c>
      <c r="T28" s="5">
        <f t="shared" si="7"/>
        <v>0.58600000000000008</v>
      </c>
      <c r="U28" s="5">
        <f>IFERROR(VLOOKUP(A28,'Calculator - Females'!A$10:G$19,7,FALSE),0)</f>
        <v>0</v>
      </c>
    </row>
    <row r="29" spans="1:21" x14ac:dyDescent="0.35">
      <c r="A29" s="11">
        <v>33</v>
      </c>
      <c r="B29" s="5">
        <v>1.1319999999999999</v>
      </c>
      <c r="C29" s="5">
        <v>0.13600000000000001</v>
      </c>
      <c r="D29" s="5">
        <f t="shared" si="0"/>
        <v>1.4039999999999999</v>
      </c>
      <c r="E29" s="5">
        <f t="shared" si="1"/>
        <v>0.85999999999999988</v>
      </c>
      <c r="F29" s="5">
        <f>IFERROR(VLOOKUP(A29,'Calculator - Males'!A$10:B$19,2,FALSE),0)</f>
        <v>0</v>
      </c>
      <c r="G29" s="5">
        <v>0.94599999999999995</v>
      </c>
      <c r="H29" s="5">
        <v>0.16900000000000001</v>
      </c>
      <c r="I29" s="5">
        <f t="shared" si="2"/>
        <v>1.284</v>
      </c>
      <c r="J29" s="5">
        <f t="shared" si="3"/>
        <v>0.60799999999999987</v>
      </c>
      <c r="K29" s="5">
        <f>IFERROR(VLOOKUP(A29,'Calculator - Males'!A$10:G$19,7,FALSE),0)</f>
        <v>0</v>
      </c>
      <c r="L29" s="5">
        <v>1.0309999999999999</v>
      </c>
      <c r="M29" s="5">
        <v>0.114</v>
      </c>
      <c r="N29" s="5">
        <f t="shared" si="4"/>
        <v>1.2589999999999999</v>
      </c>
      <c r="O29" s="5">
        <f t="shared" si="5"/>
        <v>0.80299999999999994</v>
      </c>
      <c r="P29" s="5">
        <f>IFERROR(VLOOKUP(A29,'Calculator - Females'!A$10:B$19,2,FALSE),0)</f>
        <v>0</v>
      </c>
      <c r="Q29" s="5">
        <v>0.91800000000000004</v>
      </c>
      <c r="R29" s="5">
        <v>0.16700000000000001</v>
      </c>
      <c r="S29" s="5">
        <f t="shared" si="6"/>
        <v>1.252</v>
      </c>
      <c r="T29" s="5">
        <f t="shared" si="7"/>
        <v>0.58400000000000007</v>
      </c>
      <c r="U29" s="5">
        <f>IFERROR(VLOOKUP(A29,'Calculator - Females'!A$10:G$19,7,FALSE),0)</f>
        <v>0</v>
      </c>
    </row>
    <row r="30" spans="1:21" x14ac:dyDescent="0.35">
      <c r="A30" s="11">
        <v>34</v>
      </c>
      <c r="B30" s="5">
        <v>1.135</v>
      </c>
      <c r="C30" s="5">
        <v>0.13500000000000001</v>
      </c>
      <c r="D30" s="5">
        <f t="shared" si="0"/>
        <v>1.405</v>
      </c>
      <c r="E30" s="5">
        <f t="shared" si="1"/>
        <v>0.86499999999999999</v>
      </c>
      <c r="F30" s="5">
        <f>IFERROR(VLOOKUP(A30,'Calculator - Males'!A$10:B$19,2,FALSE),0)</f>
        <v>0</v>
      </c>
      <c r="G30" s="5">
        <v>0.94599999999999995</v>
      </c>
      <c r="H30" s="5">
        <v>0.16900000000000001</v>
      </c>
      <c r="I30" s="5">
        <f t="shared" si="2"/>
        <v>1.284</v>
      </c>
      <c r="J30" s="5">
        <f t="shared" si="3"/>
        <v>0.60799999999999987</v>
      </c>
      <c r="K30" s="5">
        <f>IFERROR(VLOOKUP(A30,'Calculator - Males'!A$10:G$19,7,FALSE),0)</f>
        <v>0</v>
      </c>
      <c r="L30" s="5">
        <v>1.0309999999999999</v>
      </c>
      <c r="M30" s="5">
        <v>0.114</v>
      </c>
      <c r="N30" s="5">
        <f t="shared" si="4"/>
        <v>1.2589999999999999</v>
      </c>
      <c r="O30" s="5">
        <f t="shared" si="5"/>
        <v>0.80299999999999994</v>
      </c>
      <c r="P30" s="5">
        <f>IFERROR(VLOOKUP(A30,'Calculator - Females'!A$10:B$19,2,FALSE),0)</f>
        <v>0</v>
      </c>
      <c r="Q30" s="5">
        <v>0.91500000000000004</v>
      </c>
      <c r="R30" s="5">
        <v>0.16600000000000001</v>
      </c>
      <c r="S30" s="5">
        <f t="shared" si="6"/>
        <v>1.2470000000000001</v>
      </c>
      <c r="T30" s="5">
        <f t="shared" si="7"/>
        <v>0.58299999999999996</v>
      </c>
      <c r="U30" s="5">
        <f>IFERROR(VLOOKUP(A30,'Calculator - Females'!A$10:G$19,7,FALSE),0)</f>
        <v>0</v>
      </c>
    </row>
    <row r="31" spans="1:21" x14ac:dyDescent="0.35">
      <c r="A31" s="11">
        <v>35</v>
      </c>
      <c r="B31" s="5">
        <v>1.139</v>
      </c>
      <c r="C31" s="5">
        <v>0.13500000000000001</v>
      </c>
      <c r="D31" s="5">
        <f t="shared" si="0"/>
        <v>1.409</v>
      </c>
      <c r="E31" s="5">
        <f t="shared" si="1"/>
        <v>0.86899999999999999</v>
      </c>
      <c r="F31" s="5">
        <f>IFERROR(VLOOKUP(A31,'Calculator - Males'!A$10:B$19,2,FALSE),0)</f>
        <v>0</v>
      </c>
      <c r="G31" s="5">
        <v>0.94599999999999995</v>
      </c>
      <c r="H31" s="5">
        <v>0.16900000000000001</v>
      </c>
      <c r="I31" s="5">
        <f t="shared" si="2"/>
        <v>1.284</v>
      </c>
      <c r="J31" s="5">
        <f t="shared" si="3"/>
        <v>0.60799999999999987</v>
      </c>
      <c r="K31" s="5">
        <f>IFERROR(VLOOKUP(A31,'Calculator - Males'!A$10:G$19,7,FALSE),0)</f>
        <v>0</v>
      </c>
      <c r="L31" s="5">
        <v>1.032</v>
      </c>
      <c r="M31" s="5">
        <v>0.114</v>
      </c>
      <c r="N31" s="5">
        <f t="shared" si="4"/>
        <v>1.26</v>
      </c>
      <c r="O31" s="5">
        <f t="shared" si="5"/>
        <v>0.80400000000000005</v>
      </c>
      <c r="P31" s="5">
        <f>IFERROR(VLOOKUP(A31,'Calculator - Females'!A$10:B$19,2,FALSE),0)</f>
        <v>0</v>
      </c>
      <c r="Q31" s="5">
        <v>0.91300000000000003</v>
      </c>
      <c r="R31" s="5">
        <v>0.16600000000000001</v>
      </c>
      <c r="S31" s="5">
        <f t="shared" si="6"/>
        <v>1.2450000000000001</v>
      </c>
      <c r="T31" s="5">
        <f t="shared" si="7"/>
        <v>0.58099999999999996</v>
      </c>
      <c r="U31" s="5">
        <f>IFERROR(VLOOKUP(A31,'Calculator - Females'!A$10:G$19,7,FALSE),0)</f>
        <v>0</v>
      </c>
    </row>
    <row r="32" spans="1:21" x14ac:dyDescent="0.35">
      <c r="A32" s="11">
        <v>36</v>
      </c>
      <c r="B32" s="5">
        <v>1.143</v>
      </c>
      <c r="C32" s="5">
        <v>0.13500000000000001</v>
      </c>
      <c r="D32" s="5">
        <f t="shared" si="0"/>
        <v>1.413</v>
      </c>
      <c r="E32" s="5">
        <f t="shared" si="1"/>
        <v>0.873</v>
      </c>
      <c r="F32" s="5">
        <f>IFERROR(VLOOKUP(A32,'Calculator - Males'!A$10:B$19,2,FALSE),0)</f>
        <v>0</v>
      </c>
      <c r="G32" s="5">
        <v>0.94599999999999995</v>
      </c>
      <c r="H32" s="5">
        <v>0.16900000000000001</v>
      </c>
      <c r="I32" s="5">
        <f t="shared" si="2"/>
        <v>1.284</v>
      </c>
      <c r="J32" s="5">
        <f t="shared" si="3"/>
        <v>0.60799999999999987</v>
      </c>
      <c r="K32" s="5">
        <f>IFERROR(VLOOKUP(A32,'Calculator - Males'!A$10:G$19,7,FALSE),0)</f>
        <v>0</v>
      </c>
      <c r="L32" s="5">
        <v>1.032</v>
      </c>
      <c r="M32" s="5">
        <v>0.114</v>
      </c>
      <c r="N32" s="5">
        <f t="shared" si="4"/>
        <v>1.26</v>
      </c>
      <c r="O32" s="5">
        <f t="shared" si="5"/>
        <v>0.80400000000000005</v>
      </c>
      <c r="P32" s="5">
        <f>IFERROR(VLOOKUP(A32,'Calculator - Females'!A$10:B$19,2,FALSE),0)</f>
        <v>0</v>
      </c>
      <c r="Q32" s="5">
        <v>0.91</v>
      </c>
      <c r="R32" s="5">
        <v>0.16600000000000001</v>
      </c>
      <c r="S32" s="5">
        <f t="shared" si="6"/>
        <v>1.242</v>
      </c>
      <c r="T32" s="5">
        <f t="shared" si="7"/>
        <v>0.57800000000000007</v>
      </c>
      <c r="U32" s="5">
        <f>IFERROR(VLOOKUP(A32,'Calculator - Females'!A$10:G$19,7,FALSE),0)</f>
        <v>0</v>
      </c>
    </row>
    <row r="33" spans="1:21" x14ac:dyDescent="0.35">
      <c r="A33" s="11">
        <v>37</v>
      </c>
      <c r="B33" s="5">
        <v>1.1459999999999999</v>
      </c>
      <c r="C33" s="5">
        <v>0.13500000000000001</v>
      </c>
      <c r="D33" s="5">
        <f t="shared" si="0"/>
        <v>1.4159999999999999</v>
      </c>
      <c r="E33" s="5">
        <f t="shared" si="1"/>
        <v>0.87599999999999989</v>
      </c>
      <c r="F33" s="5">
        <f>IFERROR(VLOOKUP(A33,'Calculator - Males'!A$10:B$19,2,FALSE),0)</f>
        <v>0</v>
      </c>
      <c r="G33" s="5">
        <v>0.94599999999999995</v>
      </c>
      <c r="H33" s="5">
        <v>0.16900000000000001</v>
      </c>
      <c r="I33" s="5">
        <f t="shared" si="2"/>
        <v>1.284</v>
      </c>
      <c r="J33" s="5">
        <f t="shared" si="3"/>
        <v>0.60799999999999987</v>
      </c>
      <c r="K33" s="5">
        <f>IFERROR(VLOOKUP(A33,'Calculator - Males'!A$10:G$19,7,FALSE),0)</f>
        <v>0</v>
      </c>
      <c r="L33" s="5">
        <v>1.0329999999999999</v>
      </c>
      <c r="M33" s="5">
        <v>0.114</v>
      </c>
      <c r="N33" s="5">
        <f t="shared" si="4"/>
        <v>1.2609999999999999</v>
      </c>
      <c r="O33" s="5">
        <f t="shared" si="5"/>
        <v>0.80499999999999994</v>
      </c>
      <c r="P33" s="5">
        <f>IFERROR(VLOOKUP(A33,'Calculator - Females'!A$10:B$19,2,FALSE),0)</f>
        <v>0</v>
      </c>
      <c r="Q33" s="5">
        <v>0.90800000000000003</v>
      </c>
      <c r="R33" s="5">
        <v>0.16600000000000001</v>
      </c>
      <c r="S33" s="5">
        <f t="shared" si="6"/>
        <v>1.24</v>
      </c>
      <c r="T33" s="5">
        <f t="shared" si="7"/>
        <v>0.57600000000000007</v>
      </c>
      <c r="U33" s="5">
        <f>IFERROR(VLOOKUP(A33,'Calculator - Females'!A$10:G$19,7,FALSE),0)</f>
        <v>0</v>
      </c>
    </row>
    <row r="34" spans="1:21" x14ac:dyDescent="0.35">
      <c r="A34" s="11">
        <v>38</v>
      </c>
      <c r="B34" s="5">
        <v>1.1499999999999999</v>
      </c>
      <c r="C34" s="5">
        <v>0.13500000000000001</v>
      </c>
      <c r="D34" s="5">
        <f t="shared" si="0"/>
        <v>1.42</v>
      </c>
      <c r="E34" s="5">
        <f t="shared" si="1"/>
        <v>0.87999999999999989</v>
      </c>
      <c r="F34" s="5">
        <f>IFERROR(VLOOKUP(A34,'Calculator - Males'!A$10:B$19,2,FALSE),0)</f>
        <v>0</v>
      </c>
      <c r="G34" s="5">
        <v>0.94599999999999995</v>
      </c>
      <c r="H34" s="5">
        <v>0.16900000000000001</v>
      </c>
      <c r="I34" s="5">
        <f t="shared" si="2"/>
        <v>1.284</v>
      </c>
      <c r="J34" s="5">
        <f t="shared" si="3"/>
        <v>0.60799999999999987</v>
      </c>
      <c r="K34" s="5">
        <f>IFERROR(VLOOKUP(A34,'Calculator - Males'!A$10:G$19,7,FALSE),0)</f>
        <v>0</v>
      </c>
      <c r="L34" s="5">
        <v>1.0329999999999999</v>
      </c>
      <c r="M34" s="5">
        <v>0.114</v>
      </c>
      <c r="N34" s="5">
        <f t="shared" si="4"/>
        <v>1.2609999999999999</v>
      </c>
      <c r="O34" s="5">
        <f t="shared" si="5"/>
        <v>0.80499999999999994</v>
      </c>
      <c r="P34" s="5">
        <f>IFERROR(VLOOKUP(A34,'Calculator - Females'!A$10:B$19,2,FALSE),0)</f>
        <v>0</v>
      </c>
      <c r="Q34" s="5">
        <v>0.90500000000000003</v>
      </c>
      <c r="R34" s="5">
        <v>0.16600000000000001</v>
      </c>
      <c r="S34" s="5">
        <f t="shared" si="6"/>
        <v>1.2370000000000001</v>
      </c>
      <c r="T34" s="5">
        <f t="shared" si="7"/>
        <v>0.57299999999999995</v>
      </c>
      <c r="U34" s="5">
        <f>IFERROR(VLOOKUP(A34,'Calculator - Females'!A$10:G$19,7,FALSE),0)</f>
        <v>0</v>
      </c>
    </row>
    <row r="35" spans="1:21" x14ac:dyDescent="0.35">
      <c r="A35" s="11">
        <v>39</v>
      </c>
      <c r="B35" s="5">
        <v>1.153</v>
      </c>
      <c r="C35" s="5">
        <v>0.13500000000000001</v>
      </c>
      <c r="D35" s="5">
        <f t="shared" si="0"/>
        <v>1.423</v>
      </c>
      <c r="E35" s="5">
        <f t="shared" si="1"/>
        <v>0.88300000000000001</v>
      </c>
      <c r="F35" s="5">
        <f>IFERROR(VLOOKUP(A35,'Calculator - Males'!A$10:B$19,2,FALSE),0)</f>
        <v>0</v>
      </c>
      <c r="G35" s="5">
        <v>0.94599999999999995</v>
      </c>
      <c r="H35" s="5">
        <v>0.16900000000000001</v>
      </c>
      <c r="I35" s="5">
        <f t="shared" si="2"/>
        <v>1.284</v>
      </c>
      <c r="J35" s="5">
        <f t="shared" si="3"/>
        <v>0.60799999999999987</v>
      </c>
      <c r="K35" s="5">
        <f>IFERROR(VLOOKUP(A35,'Calculator - Males'!A$10:G$19,7,FALSE),0)</f>
        <v>0</v>
      </c>
      <c r="L35" s="5">
        <v>1.0329999999999999</v>
      </c>
      <c r="M35" s="5">
        <v>0.114</v>
      </c>
      <c r="N35" s="5">
        <f t="shared" si="4"/>
        <v>1.2609999999999999</v>
      </c>
      <c r="O35" s="5">
        <f t="shared" si="5"/>
        <v>0.80499999999999994</v>
      </c>
      <c r="P35" s="5">
        <f>IFERROR(VLOOKUP(A35,'Calculator - Females'!A$10:B$19,2,FALSE),0)</f>
        <v>0</v>
      </c>
      <c r="Q35" s="5">
        <v>0.90300000000000002</v>
      </c>
      <c r="R35" s="5">
        <v>0.16600000000000001</v>
      </c>
      <c r="S35" s="5">
        <f t="shared" si="6"/>
        <v>1.2350000000000001</v>
      </c>
      <c r="T35" s="5">
        <f t="shared" si="7"/>
        <v>0.57099999999999995</v>
      </c>
      <c r="U35" s="5">
        <f>IFERROR(VLOOKUP(A35,'Calculator - Females'!A$10:G$19,7,FALSE),0)</f>
        <v>0</v>
      </c>
    </row>
    <row r="36" spans="1:21" x14ac:dyDescent="0.35">
      <c r="A36" s="11">
        <v>40</v>
      </c>
      <c r="B36" s="5">
        <v>1.157</v>
      </c>
      <c r="C36" s="5">
        <v>0.13500000000000001</v>
      </c>
      <c r="D36" s="5">
        <f t="shared" si="0"/>
        <v>1.427</v>
      </c>
      <c r="E36" s="5">
        <f t="shared" si="1"/>
        <v>0.88700000000000001</v>
      </c>
      <c r="F36" s="5">
        <f>IFERROR(VLOOKUP(A36,'Calculator - Males'!A$10:B$19,2,FALSE),0)</f>
        <v>0</v>
      </c>
      <c r="G36" s="5">
        <v>0.94599999999999995</v>
      </c>
      <c r="H36" s="5">
        <v>0.16900000000000001</v>
      </c>
      <c r="I36" s="5">
        <f t="shared" si="2"/>
        <v>1.284</v>
      </c>
      <c r="J36" s="5">
        <f t="shared" si="3"/>
        <v>0.60799999999999987</v>
      </c>
      <c r="K36" s="5">
        <f>IFERROR(VLOOKUP(A36,'Calculator - Males'!A$10:G$19,7,FALSE),0)</f>
        <v>0</v>
      </c>
      <c r="L36" s="5">
        <v>1.034</v>
      </c>
      <c r="M36" s="5">
        <v>0.114</v>
      </c>
      <c r="N36" s="5">
        <f t="shared" si="4"/>
        <v>1.262</v>
      </c>
      <c r="O36" s="5">
        <f t="shared" si="5"/>
        <v>0.80600000000000005</v>
      </c>
      <c r="P36" s="5">
        <f>IFERROR(VLOOKUP(A36,'Calculator - Females'!A$10:B$19,2,FALSE),0)</f>
        <v>0</v>
      </c>
      <c r="Q36" s="5">
        <v>0.90100000000000002</v>
      </c>
      <c r="R36" s="5">
        <v>0.16600000000000001</v>
      </c>
      <c r="S36" s="5">
        <f t="shared" si="6"/>
        <v>1.2330000000000001</v>
      </c>
      <c r="T36" s="5">
        <f t="shared" si="7"/>
        <v>0.56899999999999995</v>
      </c>
      <c r="U36" s="5">
        <f>IFERROR(VLOOKUP(A36,'Calculator - Females'!A$10:G$19,7,FALSE),0)</f>
        <v>0</v>
      </c>
    </row>
    <row r="37" spans="1:21" x14ac:dyDescent="0.35">
      <c r="A37" s="11">
        <v>41</v>
      </c>
      <c r="B37" s="5">
        <v>1.161</v>
      </c>
      <c r="C37" s="5">
        <v>0.13600000000000001</v>
      </c>
      <c r="D37" s="5">
        <f t="shared" si="0"/>
        <v>1.4330000000000001</v>
      </c>
      <c r="E37" s="5">
        <f t="shared" si="1"/>
        <v>0.88900000000000001</v>
      </c>
      <c r="F37" s="5">
        <f>IFERROR(VLOOKUP(A37,'Calculator - Males'!A$10:B$19,2,FALSE),0)</f>
        <v>0</v>
      </c>
      <c r="G37" s="5">
        <v>0.94599999999999995</v>
      </c>
      <c r="H37" s="5">
        <v>0.16900000000000001</v>
      </c>
      <c r="I37" s="5">
        <f t="shared" si="2"/>
        <v>1.284</v>
      </c>
      <c r="J37" s="5">
        <f t="shared" si="3"/>
        <v>0.60799999999999987</v>
      </c>
      <c r="K37" s="5">
        <f>IFERROR(VLOOKUP(A37,'Calculator - Males'!A$10:G$19,7,FALSE),0)</f>
        <v>0</v>
      </c>
      <c r="L37" s="5">
        <v>1.034</v>
      </c>
      <c r="M37" s="5">
        <v>0.114</v>
      </c>
      <c r="N37" s="5">
        <f t="shared" si="4"/>
        <v>1.262</v>
      </c>
      <c r="O37" s="5">
        <f t="shared" si="5"/>
        <v>0.80600000000000005</v>
      </c>
      <c r="P37" s="5">
        <f>IFERROR(VLOOKUP(A37,'Calculator - Females'!A$10:B$19,2,FALSE),0)</f>
        <v>0</v>
      </c>
      <c r="Q37" s="5">
        <v>0.89800000000000002</v>
      </c>
      <c r="R37" s="5">
        <v>0.16600000000000001</v>
      </c>
      <c r="S37" s="5">
        <f t="shared" si="6"/>
        <v>1.23</v>
      </c>
      <c r="T37" s="5">
        <f t="shared" si="7"/>
        <v>0.56600000000000006</v>
      </c>
      <c r="U37" s="5">
        <f>IFERROR(VLOOKUP(A37,'Calculator - Females'!A$10:G$19,7,FALSE),0)</f>
        <v>0</v>
      </c>
    </row>
    <row r="38" spans="1:21" x14ac:dyDescent="0.35">
      <c r="A38" s="11">
        <v>42</v>
      </c>
      <c r="B38" s="5">
        <v>1.1639999999999999</v>
      </c>
      <c r="C38" s="5">
        <v>0.13600000000000001</v>
      </c>
      <c r="D38" s="5">
        <f t="shared" si="0"/>
        <v>1.4359999999999999</v>
      </c>
      <c r="E38" s="5">
        <f t="shared" si="1"/>
        <v>0.8919999999999999</v>
      </c>
      <c r="F38" s="5">
        <f>IFERROR(VLOOKUP(A38,'Calculator - Males'!A$10:B$19,2,FALSE),0)</f>
        <v>0</v>
      </c>
      <c r="G38" s="5">
        <v>0.94599999999999995</v>
      </c>
      <c r="H38" s="5">
        <v>0.17</v>
      </c>
      <c r="I38" s="5">
        <f t="shared" si="2"/>
        <v>1.286</v>
      </c>
      <c r="J38" s="5">
        <f t="shared" si="3"/>
        <v>0.60599999999999987</v>
      </c>
      <c r="K38" s="5">
        <f>IFERROR(VLOOKUP(A38,'Calculator - Males'!A$10:G$19,7,FALSE),0)</f>
        <v>0</v>
      </c>
      <c r="L38" s="5">
        <v>1.0349999999999999</v>
      </c>
      <c r="M38" s="5">
        <v>0.114</v>
      </c>
      <c r="N38" s="5">
        <f t="shared" si="4"/>
        <v>1.2629999999999999</v>
      </c>
      <c r="O38" s="5">
        <f t="shared" si="5"/>
        <v>0.80699999999999994</v>
      </c>
      <c r="P38" s="5">
        <f>IFERROR(VLOOKUP(A38,'Calculator - Females'!A$10:B$19,2,FALSE),0)</f>
        <v>0</v>
      </c>
      <c r="Q38" s="5">
        <v>0.89600000000000002</v>
      </c>
      <c r="R38" s="5">
        <v>0.16600000000000001</v>
      </c>
      <c r="S38" s="5">
        <f t="shared" si="6"/>
        <v>1.228</v>
      </c>
      <c r="T38" s="5">
        <f t="shared" si="7"/>
        <v>0.56400000000000006</v>
      </c>
      <c r="U38" s="5">
        <f>IFERROR(VLOOKUP(A38,'Calculator - Females'!A$10:G$19,7,FALSE),0)</f>
        <v>0</v>
      </c>
    </row>
    <row r="39" spans="1:21" x14ac:dyDescent="0.35">
      <c r="A39" s="11">
        <v>43</v>
      </c>
      <c r="B39" s="5">
        <v>1.1679999999999999</v>
      </c>
      <c r="C39" s="5">
        <v>0.13600000000000001</v>
      </c>
      <c r="D39" s="5">
        <f t="shared" si="0"/>
        <v>1.44</v>
      </c>
      <c r="E39" s="5">
        <f t="shared" si="1"/>
        <v>0.89599999999999991</v>
      </c>
      <c r="F39" s="5">
        <f>IFERROR(VLOOKUP(A39,'Calculator - Males'!A$10:B$19,2,FALSE),0)</f>
        <v>0</v>
      </c>
      <c r="G39" s="5">
        <v>0.94599999999999995</v>
      </c>
      <c r="H39" s="5">
        <v>0.17</v>
      </c>
      <c r="I39" s="5">
        <f t="shared" si="2"/>
        <v>1.286</v>
      </c>
      <c r="J39" s="5">
        <f t="shared" si="3"/>
        <v>0.60599999999999987</v>
      </c>
      <c r="K39" s="5">
        <f>IFERROR(VLOOKUP(A39,'Calculator - Males'!A$10:G$19,7,FALSE),0)</f>
        <v>0</v>
      </c>
      <c r="L39" s="5">
        <v>1.0349999999999999</v>
      </c>
      <c r="M39" s="5">
        <v>0.114</v>
      </c>
      <c r="N39" s="5">
        <f t="shared" si="4"/>
        <v>1.2629999999999999</v>
      </c>
      <c r="O39" s="5">
        <f t="shared" si="5"/>
        <v>0.80699999999999994</v>
      </c>
      <c r="P39" s="5">
        <f>IFERROR(VLOOKUP(A39,'Calculator - Females'!A$10:B$19,2,FALSE),0)</f>
        <v>0</v>
      </c>
      <c r="Q39" s="5">
        <v>0.89300000000000002</v>
      </c>
      <c r="R39" s="5">
        <v>0.16600000000000001</v>
      </c>
      <c r="S39" s="5">
        <f t="shared" si="6"/>
        <v>1.2250000000000001</v>
      </c>
      <c r="T39" s="5">
        <f t="shared" si="7"/>
        <v>0.56099999999999994</v>
      </c>
      <c r="U39" s="5">
        <f>IFERROR(VLOOKUP(A39,'Calculator - Females'!A$10:G$19,7,FALSE),0)</f>
        <v>0</v>
      </c>
    </row>
    <row r="40" spans="1:21" x14ac:dyDescent="0.35">
      <c r="A40" s="11">
        <v>44</v>
      </c>
      <c r="B40" s="5">
        <v>1.171</v>
      </c>
      <c r="C40" s="5">
        <v>0.13700000000000001</v>
      </c>
      <c r="D40" s="5">
        <f t="shared" si="0"/>
        <v>1.4450000000000001</v>
      </c>
      <c r="E40" s="5">
        <f t="shared" si="1"/>
        <v>0.89700000000000002</v>
      </c>
      <c r="F40" s="5">
        <f>IFERROR(VLOOKUP(A40,'Calculator - Males'!A$10:B$19,2,FALSE),0)</f>
        <v>0</v>
      </c>
      <c r="G40" s="5">
        <v>0.94599999999999995</v>
      </c>
      <c r="H40" s="5">
        <v>0.17</v>
      </c>
      <c r="I40" s="5">
        <f t="shared" si="2"/>
        <v>1.286</v>
      </c>
      <c r="J40" s="5">
        <f t="shared" si="3"/>
        <v>0.60599999999999987</v>
      </c>
      <c r="K40" s="5">
        <f>IFERROR(VLOOKUP(A40,'Calculator - Males'!A$10:G$19,7,FALSE),0)</f>
        <v>0</v>
      </c>
      <c r="L40" s="5">
        <v>1.0349999999999999</v>
      </c>
      <c r="M40" s="5">
        <v>0.114</v>
      </c>
      <c r="N40" s="5">
        <f t="shared" si="4"/>
        <v>1.2629999999999999</v>
      </c>
      <c r="O40" s="5">
        <f t="shared" si="5"/>
        <v>0.80699999999999994</v>
      </c>
      <c r="P40" s="5">
        <f>IFERROR(VLOOKUP(A40,'Calculator - Females'!A$10:B$19,2,FALSE),0)</f>
        <v>0</v>
      </c>
      <c r="Q40" s="5">
        <v>0.89100000000000001</v>
      </c>
      <c r="R40" s="5">
        <v>0.16600000000000001</v>
      </c>
      <c r="S40" s="5">
        <f t="shared" si="6"/>
        <v>1.2230000000000001</v>
      </c>
      <c r="T40" s="5">
        <f t="shared" si="7"/>
        <v>0.55899999999999994</v>
      </c>
      <c r="U40" s="5">
        <f>IFERROR(VLOOKUP(A40,'Calculator - Females'!A$10:G$19,7,FALSE),0)</f>
        <v>0</v>
      </c>
    </row>
    <row r="41" spans="1:21" x14ac:dyDescent="0.35">
      <c r="A41" s="11">
        <v>45</v>
      </c>
      <c r="B41" s="5">
        <v>1.175</v>
      </c>
      <c r="C41" s="5">
        <v>0.13700000000000001</v>
      </c>
      <c r="D41" s="5">
        <f t="shared" si="0"/>
        <v>1.4490000000000001</v>
      </c>
      <c r="E41" s="5">
        <f t="shared" si="1"/>
        <v>0.90100000000000002</v>
      </c>
      <c r="F41" s="5">
        <f>IFERROR(VLOOKUP(A41,'Calculator - Males'!A$10:B$19,2,FALSE),0)</f>
        <v>0</v>
      </c>
      <c r="G41" s="5">
        <v>0.94599999999999995</v>
      </c>
      <c r="H41" s="5">
        <v>0.17100000000000001</v>
      </c>
      <c r="I41" s="5">
        <f t="shared" si="2"/>
        <v>1.288</v>
      </c>
      <c r="J41" s="5">
        <f t="shared" si="3"/>
        <v>0.60399999999999987</v>
      </c>
      <c r="K41" s="5">
        <f>IFERROR(VLOOKUP(A41,'Calculator - Males'!A$10:G$19,7,FALSE),0)</f>
        <v>0</v>
      </c>
      <c r="L41" s="5">
        <v>1.036</v>
      </c>
      <c r="M41" s="5">
        <v>0.114</v>
      </c>
      <c r="N41" s="5">
        <f t="shared" si="4"/>
        <v>1.264</v>
      </c>
      <c r="O41" s="5">
        <f t="shared" si="5"/>
        <v>0.80800000000000005</v>
      </c>
      <c r="P41" s="5">
        <f>IFERROR(VLOOKUP(A41,'Calculator - Females'!A$10:B$19,2,FALSE),0)</f>
        <v>0</v>
      </c>
      <c r="Q41" s="5">
        <v>0.88800000000000001</v>
      </c>
      <c r="R41" s="5">
        <v>0.16600000000000001</v>
      </c>
      <c r="S41" s="5">
        <f t="shared" si="6"/>
        <v>1.22</v>
      </c>
      <c r="T41" s="5">
        <f t="shared" si="7"/>
        <v>0.55600000000000005</v>
      </c>
      <c r="U41" s="5">
        <f>IFERROR(VLOOKUP(A41,'Calculator - Females'!A$10:G$19,7,FALSE),0)</f>
        <v>0</v>
      </c>
    </row>
    <row r="42" spans="1:21" x14ac:dyDescent="0.35">
      <c r="A42" s="11">
        <v>46</v>
      </c>
      <c r="B42" s="5">
        <v>1.179</v>
      </c>
      <c r="C42" s="5">
        <v>0.13700000000000001</v>
      </c>
      <c r="D42" s="5">
        <f t="shared" si="0"/>
        <v>1.4530000000000001</v>
      </c>
      <c r="E42" s="5">
        <f t="shared" si="1"/>
        <v>0.90500000000000003</v>
      </c>
      <c r="F42" s="5">
        <f>IFERROR(VLOOKUP(A42,'Calculator - Males'!A$10:B$19,2,FALSE),0)</f>
        <v>0</v>
      </c>
      <c r="G42" s="5">
        <v>0.94599999999999995</v>
      </c>
      <c r="H42" s="5">
        <v>0.17100000000000001</v>
      </c>
      <c r="I42" s="5">
        <f t="shared" si="2"/>
        <v>1.288</v>
      </c>
      <c r="J42" s="5">
        <f t="shared" si="3"/>
        <v>0.60399999999999987</v>
      </c>
      <c r="K42" s="5">
        <f>IFERROR(VLOOKUP(A42,'Calculator - Males'!A$10:G$19,7,FALSE),0)</f>
        <v>0</v>
      </c>
      <c r="L42" s="5">
        <v>1.036</v>
      </c>
      <c r="M42" s="5">
        <v>0.114</v>
      </c>
      <c r="N42" s="5">
        <f t="shared" si="4"/>
        <v>1.264</v>
      </c>
      <c r="O42" s="5">
        <f t="shared" si="5"/>
        <v>0.80800000000000005</v>
      </c>
      <c r="P42" s="5">
        <f>IFERROR(VLOOKUP(A42,'Calculator - Females'!A$10:B$19,2,FALSE),0)</f>
        <v>0</v>
      </c>
      <c r="Q42" s="5">
        <v>0.88600000000000001</v>
      </c>
      <c r="R42" s="5">
        <v>0.16600000000000001</v>
      </c>
      <c r="S42" s="5">
        <f t="shared" si="6"/>
        <v>1.218</v>
      </c>
      <c r="T42" s="5">
        <f t="shared" si="7"/>
        <v>0.55400000000000005</v>
      </c>
      <c r="U42" s="5">
        <f>IFERROR(VLOOKUP(A42,'Calculator - Females'!A$10:G$19,7,FALSE),0)</f>
        <v>0</v>
      </c>
    </row>
    <row r="43" spans="1:21" x14ac:dyDescent="0.35">
      <c r="A43" s="11">
        <v>47</v>
      </c>
      <c r="B43" s="5">
        <v>1.1819999999999999</v>
      </c>
      <c r="C43" s="5">
        <v>0.13800000000000001</v>
      </c>
      <c r="D43" s="5">
        <f t="shared" si="0"/>
        <v>1.458</v>
      </c>
      <c r="E43" s="5">
        <f t="shared" si="1"/>
        <v>0.90599999999999992</v>
      </c>
      <c r="F43" s="5">
        <f>IFERROR(VLOOKUP(A43,'Calculator - Males'!A$10:B$19,2,FALSE),0)</f>
        <v>0</v>
      </c>
      <c r="G43" s="5">
        <v>0.94599999999999995</v>
      </c>
      <c r="H43" s="5">
        <v>0.17199999999999999</v>
      </c>
      <c r="I43" s="5">
        <f t="shared" si="2"/>
        <v>1.29</v>
      </c>
      <c r="J43" s="5">
        <f t="shared" si="3"/>
        <v>0.60199999999999998</v>
      </c>
      <c r="K43" s="5">
        <f>IFERROR(VLOOKUP(A43,'Calculator - Males'!A$10:G$19,7,FALSE),0)</f>
        <v>0</v>
      </c>
      <c r="L43" s="5">
        <v>1.0369999999999999</v>
      </c>
      <c r="M43" s="5">
        <v>0.114</v>
      </c>
      <c r="N43" s="5">
        <f t="shared" si="4"/>
        <v>1.2649999999999999</v>
      </c>
      <c r="O43" s="5">
        <f t="shared" si="5"/>
        <v>0.80899999999999994</v>
      </c>
      <c r="P43" s="5">
        <f>IFERROR(VLOOKUP(A43,'Calculator - Females'!A$10:B$19,2,FALSE),0)</f>
        <v>0</v>
      </c>
      <c r="Q43" s="5">
        <v>0.88300000000000001</v>
      </c>
      <c r="R43" s="5">
        <v>0.16600000000000001</v>
      </c>
      <c r="S43" s="5">
        <f t="shared" si="6"/>
        <v>1.2150000000000001</v>
      </c>
      <c r="T43" s="5">
        <f t="shared" si="7"/>
        <v>0.55099999999999993</v>
      </c>
      <c r="U43" s="5">
        <f>IFERROR(VLOOKUP(A43,'Calculator - Females'!A$10:G$19,7,FALSE),0)</f>
        <v>0</v>
      </c>
    </row>
    <row r="44" spans="1:21" x14ac:dyDescent="0.35">
      <c r="A44" s="11">
        <v>48</v>
      </c>
      <c r="B44" s="5">
        <v>1.1859999999999999</v>
      </c>
      <c r="C44" s="5">
        <v>0.13800000000000001</v>
      </c>
      <c r="D44" s="5">
        <f t="shared" si="0"/>
        <v>1.462</v>
      </c>
      <c r="E44" s="5">
        <f t="shared" si="1"/>
        <v>0.90999999999999992</v>
      </c>
      <c r="F44" s="5">
        <f>IFERROR(VLOOKUP(A44,'Calculator - Males'!A$10:B$19,2,FALSE),0)</f>
        <v>0</v>
      </c>
      <c r="G44" s="5">
        <v>0.94599999999999995</v>
      </c>
      <c r="H44" s="5">
        <v>0.17199999999999999</v>
      </c>
      <c r="I44" s="5">
        <f t="shared" si="2"/>
        <v>1.29</v>
      </c>
      <c r="J44" s="5">
        <f t="shared" si="3"/>
        <v>0.60199999999999998</v>
      </c>
      <c r="K44" s="5">
        <f>IFERROR(VLOOKUP(A44,'Calculator - Males'!A$10:G$19,7,FALSE),0)</f>
        <v>0</v>
      </c>
      <c r="L44" s="5">
        <v>1.0369999999999999</v>
      </c>
      <c r="M44" s="5">
        <v>0.114</v>
      </c>
      <c r="N44" s="5">
        <f t="shared" si="4"/>
        <v>1.2649999999999999</v>
      </c>
      <c r="O44" s="5">
        <f t="shared" si="5"/>
        <v>0.80899999999999994</v>
      </c>
      <c r="P44" s="5">
        <f>IFERROR(VLOOKUP(A44,'Calculator - Females'!A$10:B$19,2,FALSE),0)</f>
        <v>0</v>
      </c>
      <c r="Q44" s="5">
        <v>0.88100000000000001</v>
      </c>
      <c r="R44" s="5">
        <v>0.16600000000000001</v>
      </c>
      <c r="S44" s="5">
        <f t="shared" si="6"/>
        <v>1.2130000000000001</v>
      </c>
      <c r="T44" s="5">
        <f t="shared" si="7"/>
        <v>0.54899999999999993</v>
      </c>
      <c r="U44" s="5">
        <f>IFERROR(VLOOKUP(A44,'Calculator - Females'!A$10:G$19,7,FALSE),0)</f>
        <v>0</v>
      </c>
    </row>
    <row r="45" spans="1:21" x14ac:dyDescent="0.35">
      <c r="A45" s="11">
        <v>49</v>
      </c>
      <c r="B45" s="5">
        <v>1.1890000000000001</v>
      </c>
      <c r="C45" s="5">
        <v>0.13900000000000001</v>
      </c>
      <c r="D45" s="5">
        <f t="shared" si="0"/>
        <v>1.4670000000000001</v>
      </c>
      <c r="E45" s="5">
        <f t="shared" si="1"/>
        <v>0.91100000000000003</v>
      </c>
      <c r="F45" s="5">
        <f>IFERROR(VLOOKUP(A45,'Calculator - Males'!A$10:B$19,2,FALSE),0)</f>
        <v>0</v>
      </c>
      <c r="G45" s="5">
        <v>0.94599999999999995</v>
      </c>
      <c r="H45" s="5">
        <v>0.17299999999999999</v>
      </c>
      <c r="I45" s="5">
        <f t="shared" si="2"/>
        <v>1.2919999999999998</v>
      </c>
      <c r="J45" s="5">
        <f t="shared" si="3"/>
        <v>0.6</v>
      </c>
      <c r="K45" s="5">
        <f>IFERROR(VLOOKUP(A45,'Calculator - Males'!A$10:G$19,7,FALSE),0)</f>
        <v>0</v>
      </c>
      <c r="L45" s="5">
        <v>1.0369999999999999</v>
      </c>
      <c r="M45" s="5">
        <v>0.115</v>
      </c>
      <c r="N45" s="5">
        <f t="shared" si="4"/>
        <v>1.2669999999999999</v>
      </c>
      <c r="O45" s="5">
        <f t="shared" si="5"/>
        <v>0.80699999999999994</v>
      </c>
      <c r="P45" s="5">
        <f>IFERROR(VLOOKUP(A45,'Calculator - Females'!A$10:B$19,2,FALSE),0)</f>
        <v>0</v>
      </c>
      <c r="Q45" s="5">
        <v>0.878</v>
      </c>
      <c r="R45" s="5">
        <v>0.16700000000000001</v>
      </c>
      <c r="S45" s="5">
        <f t="shared" si="6"/>
        <v>1.212</v>
      </c>
      <c r="T45" s="5">
        <f t="shared" si="7"/>
        <v>0.54400000000000004</v>
      </c>
      <c r="U45" s="5">
        <f>IFERROR(VLOOKUP(A45,'Calculator - Females'!A$10:G$19,7,FALSE),0)</f>
        <v>0</v>
      </c>
    </row>
    <row r="46" spans="1:21" x14ac:dyDescent="0.35">
      <c r="A46" s="11">
        <v>50</v>
      </c>
      <c r="B46" s="5">
        <v>1.1930000000000001</v>
      </c>
      <c r="C46" s="5">
        <v>0.14000000000000001</v>
      </c>
      <c r="D46" s="5">
        <f t="shared" si="0"/>
        <v>1.4730000000000001</v>
      </c>
      <c r="E46" s="5">
        <f t="shared" si="1"/>
        <v>0.91300000000000003</v>
      </c>
      <c r="F46" s="5">
        <f>IFERROR(VLOOKUP(A46,'Calculator - Males'!A$10:B$19,2,FALSE),0)</f>
        <v>0</v>
      </c>
      <c r="G46" s="5">
        <v>0.94599999999999995</v>
      </c>
      <c r="H46" s="5">
        <v>0.17399999999999999</v>
      </c>
      <c r="I46" s="5">
        <f t="shared" si="2"/>
        <v>1.294</v>
      </c>
      <c r="J46" s="5">
        <f t="shared" si="3"/>
        <v>0.59799999999999998</v>
      </c>
      <c r="K46" s="5">
        <f>IFERROR(VLOOKUP(A46,'Calculator - Males'!A$10:G$19,7,FALSE),0)</f>
        <v>0</v>
      </c>
      <c r="L46" s="5">
        <v>1.038</v>
      </c>
      <c r="M46" s="5">
        <v>0.115</v>
      </c>
      <c r="N46" s="5">
        <f t="shared" si="4"/>
        <v>1.268</v>
      </c>
      <c r="O46" s="5">
        <f t="shared" si="5"/>
        <v>0.80800000000000005</v>
      </c>
      <c r="P46" s="5">
        <f>IFERROR(VLOOKUP(A46,'Calculator - Females'!A$10:B$19,2,FALSE),0)</f>
        <v>0</v>
      </c>
      <c r="Q46" s="5">
        <v>0.876</v>
      </c>
      <c r="R46" s="5">
        <v>0.16700000000000001</v>
      </c>
      <c r="S46" s="5">
        <f t="shared" si="6"/>
        <v>1.21</v>
      </c>
      <c r="T46" s="5">
        <f t="shared" si="7"/>
        <v>0.54200000000000004</v>
      </c>
      <c r="U46" s="5">
        <f>IFERROR(VLOOKUP(A46,'Calculator - Females'!A$10:G$19,7,FALSE),0)</f>
        <v>0</v>
      </c>
    </row>
    <row r="47" spans="1:21" x14ac:dyDescent="0.35">
      <c r="A47" s="11">
        <v>51</v>
      </c>
      <c r="B47" s="5">
        <v>1.1970000000000001</v>
      </c>
      <c r="C47" s="5">
        <v>0.14000000000000001</v>
      </c>
      <c r="D47" s="5">
        <f t="shared" si="0"/>
        <v>1.4770000000000001</v>
      </c>
      <c r="E47" s="5">
        <f t="shared" si="1"/>
        <v>0.91700000000000004</v>
      </c>
      <c r="F47" s="5">
        <f>IFERROR(VLOOKUP(A47,'Calculator - Males'!A$10:B$19,2,FALSE),0)</f>
        <v>0</v>
      </c>
      <c r="G47" s="5">
        <v>0.94599999999999995</v>
      </c>
      <c r="H47" s="5">
        <v>0.17499999999999999</v>
      </c>
      <c r="I47" s="5">
        <f t="shared" si="2"/>
        <v>1.2959999999999998</v>
      </c>
      <c r="J47" s="5">
        <f t="shared" si="3"/>
        <v>0.59599999999999997</v>
      </c>
      <c r="K47" s="5">
        <f>IFERROR(VLOOKUP(A47,'Calculator - Males'!A$10:G$19,7,FALSE),0)</f>
        <v>0</v>
      </c>
      <c r="L47" s="5">
        <v>1.038</v>
      </c>
      <c r="M47" s="5">
        <v>0.115</v>
      </c>
      <c r="N47" s="5">
        <f t="shared" si="4"/>
        <v>1.268</v>
      </c>
      <c r="O47" s="5">
        <f t="shared" si="5"/>
        <v>0.80800000000000005</v>
      </c>
      <c r="P47" s="5">
        <f>IFERROR(VLOOKUP(A47,'Calculator - Females'!A$10:B$19,2,FALSE),0)</f>
        <v>0</v>
      </c>
      <c r="Q47" s="5">
        <v>0.874</v>
      </c>
      <c r="R47" s="5">
        <v>0.16700000000000001</v>
      </c>
      <c r="S47" s="5">
        <f t="shared" si="6"/>
        <v>1.208</v>
      </c>
      <c r="T47" s="5">
        <f t="shared" si="7"/>
        <v>0.54</v>
      </c>
      <c r="U47" s="5">
        <f>IFERROR(VLOOKUP(A47,'Calculator - Females'!A$10:G$19,7,FALSE),0)</f>
        <v>0</v>
      </c>
    </row>
    <row r="48" spans="1:21" x14ac:dyDescent="0.35">
      <c r="A48" s="11">
        <v>52</v>
      </c>
      <c r="B48" s="5">
        <v>1.2</v>
      </c>
      <c r="C48" s="5">
        <v>0.14099999999999999</v>
      </c>
      <c r="D48" s="5">
        <f t="shared" si="0"/>
        <v>1.482</v>
      </c>
      <c r="E48" s="5">
        <f t="shared" si="1"/>
        <v>0.91799999999999993</v>
      </c>
      <c r="F48" s="5">
        <f>IFERROR(VLOOKUP(A48,'Calculator - Males'!A$10:B$19,2,FALSE),0)</f>
        <v>0</v>
      </c>
      <c r="G48" s="5">
        <v>0.94599999999999995</v>
      </c>
      <c r="H48" s="5">
        <v>0.17499999999999999</v>
      </c>
      <c r="I48" s="5">
        <f t="shared" si="2"/>
        <v>1.2959999999999998</v>
      </c>
      <c r="J48" s="5">
        <f t="shared" si="3"/>
        <v>0.59599999999999997</v>
      </c>
      <c r="K48" s="5">
        <f>IFERROR(VLOOKUP(A48,'Calculator - Males'!A$10:G$19,7,FALSE),0)</f>
        <v>0</v>
      </c>
      <c r="L48" s="5">
        <v>1.0389999999999999</v>
      </c>
      <c r="M48" s="5">
        <v>0.115</v>
      </c>
      <c r="N48" s="5">
        <f t="shared" si="4"/>
        <v>1.2689999999999999</v>
      </c>
      <c r="O48" s="5">
        <f t="shared" si="5"/>
        <v>0.80899999999999994</v>
      </c>
      <c r="P48" s="5">
        <f>IFERROR(VLOOKUP(A48,'Calculator - Females'!A$10:B$19,2,FALSE),0)</f>
        <v>0</v>
      </c>
      <c r="Q48" s="5">
        <v>0.871</v>
      </c>
      <c r="R48" s="5">
        <v>0.16800000000000001</v>
      </c>
      <c r="S48" s="5">
        <f t="shared" si="6"/>
        <v>1.2070000000000001</v>
      </c>
      <c r="T48" s="5">
        <f t="shared" si="7"/>
        <v>0.53499999999999992</v>
      </c>
      <c r="U48" s="5">
        <f>IFERROR(VLOOKUP(A48,'Calculator - Females'!A$10:G$19,7,FALSE),0)</f>
        <v>0</v>
      </c>
    </row>
    <row r="49" spans="1:21" x14ac:dyDescent="0.35">
      <c r="A49" s="11">
        <v>53</v>
      </c>
      <c r="B49" s="5">
        <v>1.204</v>
      </c>
      <c r="C49" s="5">
        <v>0.14199999999999999</v>
      </c>
      <c r="D49" s="5">
        <f t="shared" si="0"/>
        <v>1.488</v>
      </c>
      <c r="E49" s="5">
        <f t="shared" si="1"/>
        <v>0.91999999999999993</v>
      </c>
      <c r="F49" s="5">
        <f>IFERROR(VLOOKUP(A49,'Calculator - Males'!A$10:B$19,2,FALSE),0)</f>
        <v>0</v>
      </c>
      <c r="G49" s="5">
        <v>0.94599999999999995</v>
      </c>
      <c r="H49" s="5">
        <v>0.17599999999999999</v>
      </c>
      <c r="I49" s="5">
        <f t="shared" si="2"/>
        <v>1.298</v>
      </c>
      <c r="J49" s="5">
        <f t="shared" si="3"/>
        <v>0.59399999999999997</v>
      </c>
      <c r="K49" s="5">
        <f>IFERROR(VLOOKUP(A49,'Calculator - Males'!A$10:G$19,7,FALSE),0)</f>
        <v>0</v>
      </c>
      <c r="L49" s="5">
        <v>1.0389999999999999</v>
      </c>
      <c r="M49" s="5">
        <v>0.11600000000000001</v>
      </c>
      <c r="N49" s="5">
        <f t="shared" si="4"/>
        <v>1.2709999999999999</v>
      </c>
      <c r="O49" s="5">
        <f t="shared" si="5"/>
        <v>0.80699999999999994</v>
      </c>
      <c r="P49" s="5">
        <f>IFERROR(VLOOKUP(A49,'Calculator - Females'!A$10:B$19,2,FALSE),0)</f>
        <v>0</v>
      </c>
      <c r="Q49" s="5">
        <v>0.86899999999999999</v>
      </c>
      <c r="R49" s="5">
        <v>0.16800000000000001</v>
      </c>
      <c r="S49" s="5">
        <f t="shared" si="6"/>
        <v>1.2050000000000001</v>
      </c>
      <c r="T49" s="5">
        <f t="shared" si="7"/>
        <v>0.53299999999999992</v>
      </c>
      <c r="U49" s="5">
        <f>IFERROR(VLOOKUP(A49,'Calculator - Females'!A$10:G$19,7,FALSE),0)</f>
        <v>0</v>
      </c>
    </row>
    <row r="50" spans="1:21" x14ac:dyDescent="0.35">
      <c r="A50" s="11">
        <v>54</v>
      </c>
      <c r="B50" s="5">
        <v>1.2070000000000001</v>
      </c>
      <c r="C50" s="5">
        <v>0.14199999999999999</v>
      </c>
      <c r="D50" s="5">
        <f t="shared" si="0"/>
        <v>1.4910000000000001</v>
      </c>
      <c r="E50" s="5">
        <f t="shared" si="1"/>
        <v>0.92300000000000004</v>
      </c>
      <c r="F50" s="5">
        <f>IFERROR(VLOOKUP(A50,'Calculator - Males'!A$10:B$19,2,FALSE),0)</f>
        <v>0</v>
      </c>
      <c r="G50" s="5">
        <v>0.94599999999999995</v>
      </c>
      <c r="H50" s="5">
        <v>0.17699999999999999</v>
      </c>
      <c r="I50" s="5">
        <f t="shared" si="2"/>
        <v>1.2999999999999998</v>
      </c>
      <c r="J50" s="5">
        <f t="shared" si="3"/>
        <v>0.59199999999999997</v>
      </c>
      <c r="K50" s="5">
        <f>IFERROR(VLOOKUP(A50,'Calculator - Males'!A$10:G$19,7,FALSE),0)</f>
        <v>0</v>
      </c>
      <c r="L50" s="5">
        <v>1.0389999999999999</v>
      </c>
      <c r="M50" s="5">
        <v>0.11600000000000001</v>
      </c>
      <c r="N50" s="5">
        <f t="shared" si="4"/>
        <v>1.2709999999999999</v>
      </c>
      <c r="O50" s="5">
        <f t="shared" si="5"/>
        <v>0.80699999999999994</v>
      </c>
      <c r="P50" s="5">
        <f>IFERROR(VLOOKUP(A50,'Calculator - Females'!A$10:B$19,2,FALSE),0)</f>
        <v>0</v>
      </c>
      <c r="Q50" s="5">
        <v>0.86599999999999999</v>
      </c>
      <c r="R50" s="5">
        <v>0.16900000000000001</v>
      </c>
      <c r="S50" s="5">
        <f t="shared" si="6"/>
        <v>1.204</v>
      </c>
      <c r="T50" s="5">
        <f t="shared" si="7"/>
        <v>0.52800000000000002</v>
      </c>
      <c r="U50" s="5">
        <f>IFERROR(VLOOKUP(A50,'Calculator - Females'!A$10:G$19,7,FALSE),0)</f>
        <v>0</v>
      </c>
    </row>
    <row r="51" spans="1:21" x14ac:dyDescent="0.35">
      <c r="A51" s="11">
        <v>55</v>
      </c>
      <c r="B51" s="5">
        <v>1.2110000000000001</v>
      </c>
      <c r="C51" s="5">
        <v>0.14299999999999999</v>
      </c>
      <c r="D51" s="5">
        <f t="shared" si="0"/>
        <v>1.4970000000000001</v>
      </c>
      <c r="E51" s="5">
        <f t="shared" si="1"/>
        <v>0.92500000000000004</v>
      </c>
      <c r="F51" s="5">
        <f>IFERROR(VLOOKUP(A51,'Calculator - Males'!A$10:B$19,2,FALSE),0)</f>
        <v>0</v>
      </c>
      <c r="G51" s="5">
        <v>0.94599999999999995</v>
      </c>
      <c r="H51" s="5">
        <v>0.17799999999999999</v>
      </c>
      <c r="I51" s="5">
        <f t="shared" si="2"/>
        <v>1.302</v>
      </c>
      <c r="J51" s="5">
        <f t="shared" si="3"/>
        <v>0.59</v>
      </c>
      <c r="K51" s="5">
        <f>IFERROR(VLOOKUP(A51,'Calculator - Males'!A$10:G$19,7,FALSE),0)</f>
        <v>0</v>
      </c>
      <c r="L51" s="5">
        <v>1.04</v>
      </c>
      <c r="M51" s="5">
        <v>0.11600000000000001</v>
      </c>
      <c r="N51" s="5">
        <f t="shared" si="4"/>
        <v>1.272</v>
      </c>
      <c r="O51" s="5">
        <f t="shared" si="5"/>
        <v>0.80800000000000005</v>
      </c>
      <c r="P51" s="5">
        <f>IFERROR(VLOOKUP(A51,'Calculator - Females'!A$10:B$19,2,FALSE),0)</f>
        <v>0</v>
      </c>
      <c r="Q51" s="5">
        <v>0.86399999999999999</v>
      </c>
      <c r="R51" s="5">
        <v>0.16900000000000001</v>
      </c>
      <c r="S51" s="5">
        <f t="shared" si="6"/>
        <v>1.202</v>
      </c>
      <c r="T51" s="5">
        <f t="shared" si="7"/>
        <v>0.52600000000000002</v>
      </c>
      <c r="U51" s="5">
        <f>IFERROR(VLOOKUP(A51,'Calculator - Females'!A$10:G$19,7,FALSE),0)</f>
        <v>0</v>
      </c>
    </row>
    <row r="52" spans="1:21" x14ac:dyDescent="0.35">
      <c r="A52" s="11">
        <v>56</v>
      </c>
      <c r="B52" s="5">
        <v>1.2150000000000001</v>
      </c>
      <c r="C52" s="5">
        <v>0.14399999999999999</v>
      </c>
      <c r="D52" s="5">
        <f t="shared" si="0"/>
        <v>1.5030000000000001</v>
      </c>
      <c r="E52" s="5">
        <f t="shared" si="1"/>
        <v>0.92700000000000005</v>
      </c>
      <c r="F52" s="5">
        <f>IFERROR(VLOOKUP(A52,'Calculator - Males'!A$10:B$19,2,FALSE),0)</f>
        <v>0</v>
      </c>
      <c r="G52" s="5">
        <v>0.94599999999999995</v>
      </c>
      <c r="H52" s="5">
        <v>0.17899999999999999</v>
      </c>
      <c r="I52" s="5">
        <f t="shared" si="2"/>
        <v>1.3039999999999998</v>
      </c>
      <c r="J52" s="5">
        <f t="shared" si="3"/>
        <v>0.58799999999999997</v>
      </c>
      <c r="K52" s="5">
        <f>IFERROR(VLOOKUP(A52,'Calculator - Males'!A$10:G$19,7,FALSE),0)</f>
        <v>0</v>
      </c>
      <c r="L52" s="5">
        <v>1.04</v>
      </c>
      <c r="M52" s="5">
        <v>0.11700000000000001</v>
      </c>
      <c r="N52" s="5">
        <f t="shared" si="4"/>
        <v>1.274</v>
      </c>
      <c r="O52" s="5">
        <f t="shared" si="5"/>
        <v>0.80600000000000005</v>
      </c>
      <c r="P52" s="5">
        <f>IFERROR(VLOOKUP(A52,'Calculator - Females'!A$10:B$19,2,FALSE),0)</f>
        <v>0</v>
      </c>
      <c r="Q52" s="5">
        <v>0.86099999999999999</v>
      </c>
      <c r="R52" s="5">
        <v>0.17</v>
      </c>
      <c r="S52" s="5">
        <f t="shared" si="6"/>
        <v>1.2010000000000001</v>
      </c>
      <c r="T52" s="5">
        <f t="shared" si="7"/>
        <v>0.52099999999999991</v>
      </c>
      <c r="U52" s="5">
        <f>IFERROR(VLOOKUP(A52,'Calculator - Females'!A$10:G$19,7,FALSE),0)</f>
        <v>0</v>
      </c>
    </row>
    <row r="53" spans="1:21" x14ac:dyDescent="0.35">
      <c r="A53" s="11">
        <v>57</v>
      </c>
      <c r="B53" s="5">
        <v>1.218</v>
      </c>
      <c r="C53" s="5">
        <v>0.14499999999999999</v>
      </c>
      <c r="D53" s="5">
        <f t="shared" si="0"/>
        <v>1.508</v>
      </c>
      <c r="E53" s="5">
        <f t="shared" si="1"/>
        <v>0.92799999999999994</v>
      </c>
      <c r="F53" s="5">
        <f>IFERROR(VLOOKUP(A53,'Calculator - Males'!A$10:B$19,2,FALSE),0)</f>
        <v>0</v>
      </c>
      <c r="G53" s="5">
        <v>0.94599999999999995</v>
      </c>
      <c r="H53" s="5">
        <v>0.18</v>
      </c>
      <c r="I53" s="5">
        <f t="shared" si="2"/>
        <v>1.306</v>
      </c>
      <c r="J53" s="5">
        <f t="shared" si="3"/>
        <v>0.58599999999999997</v>
      </c>
      <c r="K53" s="5">
        <f>IFERROR(VLOOKUP(A53,'Calculator - Males'!A$10:G$19,7,FALSE),0)</f>
        <v>0</v>
      </c>
      <c r="L53" s="5">
        <v>1.0409999999999999</v>
      </c>
      <c r="M53" s="5">
        <v>0.11700000000000001</v>
      </c>
      <c r="N53" s="5">
        <f t="shared" si="4"/>
        <v>1.2749999999999999</v>
      </c>
      <c r="O53" s="5">
        <f t="shared" si="5"/>
        <v>0.80699999999999994</v>
      </c>
      <c r="P53" s="5">
        <f>IFERROR(VLOOKUP(A53,'Calculator - Females'!A$10:B$19,2,FALSE),0)</f>
        <v>0</v>
      </c>
      <c r="Q53" s="5">
        <v>0.85899999999999999</v>
      </c>
      <c r="R53" s="5">
        <v>0.17</v>
      </c>
      <c r="S53" s="5">
        <f t="shared" si="6"/>
        <v>1.1990000000000001</v>
      </c>
      <c r="T53" s="5">
        <f t="shared" si="7"/>
        <v>0.51899999999999991</v>
      </c>
      <c r="U53" s="5">
        <f>IFERROR(VLOOKUP(A53,'Calculator - Females'!A$10:G$19,7,FALSE),0)</f>
        <v>0</v>
      </c>
    </row>
    <row r="54" spans="1:21" x14ac:dyDescent="0.35">
      <c r="A54" s="11">
        <v>58</v>
      </c>
      <c r="B54" s="5">
        <v>1.222</v>
      </c>
      <c r="C54" s="5">
        <v>0.14599999999999999</v>
      </c>
      <c r="D54" s="5">
        <f t="shared" si="0"/>
        <v>1.514</v>
      </c>
      <c r="E54" s="5">
        <f t="shared" si="1"/>
        <v>0.92999999999999994</v>
      </c>
      <c r="F54" s="5">
        <f>IFERROR(VLOOKUP(A54,'Calculator - Males'!A$10:B$19,2,FALSE),0)</f>
        <v>0</v>
      </c>
      <c r="G54" s="5">
        <v>0.94599999999999995</v>
      </c>
      <c r="H54" s="5">
        <v>0.18099999999999999</v>
      </c>
      <c r="I54" s="5">
        <f t="shared" si="2"/>
        <v>1.3079999999999998</v>
      </c>
      <c r="J54" s="5">
        <f t="shared" si="3"/>
        <v>0.58399999999999996</v>
      </c>
      <c r="K54" s="5">
        <f>IFERROR(VLOOKUP(A54,'Calculator - Males'!A$10:G$19,7,FALSE),0)</f>
        <v>0</v>
      </c>
      <c r="L54" s="5">
        <v>1.0409999999999999</v>
      </c>
      <c r="M54" s="5">
        <v>0.11799999999999999</v>
      </c>
      <c r="N54" s="5">
        <f t="shared" si="4"/>
        <v>1.2769999999999999</v>
      </c>
      <c r="O54" s="5">
        <f t="shared" si="5"/>
        <v>0.80499999999999994</v>
      </c>
      <c r="P54" s="5">
        <f>IFERROR(VLOOKUP(A54,'Calculator - Females'!A$10:B$19,2,FALSE),0)</f>
        <v>0</v>
      </c>
      <c r="Q54" s="5">
        <v>0.85599999999999998</v>
      </c>
      <c r="R54" s="5">
        <v>0.17100000000000001</v>
      </c>
      <c r="S54" s="5">
        <f t="shared" si="6"/>
        <v>1.198</v>
      </c>
      <c r="T54" s="5">
        <f t="shared" si="7"/>
        <v>0.51400000000000001</v>
      </c>
      <c r="U54" s="5">
        <f>IFERROR(VLOOKUP(A54,'Calculator - Females'!A$10:G$19,7,FALSE),0)</f>
        <v>0</v>
      </c>
    </row>
    <row r="55" spans="1:21" x14ac:dyDescent="0.35">
      <c r="A55" s="11">
        <v>59</v>
      </c>
      <c r="B55" s="5">
        <v>1.2250000000000001</v>
      </c>
      <c r="C55" s="5">
        <v>0.14699999999999999</v>
      </c>
      <c r="D55" s="5">
        <f t="shared" si="0"/>
        <v>1.5190000000000001</v>
      </c>
      <c r="E55" s="5">
        <f t="shared" si="1"/>
        <v>0.93100000000000005</v>
      </c>
      <c r="F55" s="5">
        <f>IFERROR(VLOOKUP(A55,'Calculator - Males'!A$10:B$19,2,FALSE),0)</f>
        <v>0</v>
      </c>
      <c r="G55" s="5">
        <v>0.94599999999999995</v>
      </c>
      <c r="H55" s="5">
        <v>0.183</v>
      </c>
      <c r="I55" s="5">
        <f t="shared" si="2"/>
        <v>1.3119999999999998</v>
      </c>
      <c r="J55" s="5">
        <f t="shared" si="3"/>
        <v>0.57999999999999996</v>
      </c>
      <c r="K55" s="5">
        <f>IFERROR(VLOOKUP(A55,'Calculator - Males'!A$10:G$19,7,FALSE),0)</f>
        <v>0</v>
      </c>
      <c r="L55" s="5">
        <v>1.0409999999999999</v>
      </c>
      <c r="M55" s="5">
        <v>0.11799999999999999</v>
      </c>
      <c r="N55" s="5">
        <f t="shared" si="4"/>
        <v>1.2769999999999999</v>
      </c>
      <c r="O55" s="5">
        <f t="shared" si="5"/>
        <v>0.80499999999999994</v>
      </c>
      <c r="P55" s="5">
        <f>IFERROR(VLOOKUP(A55,'Calculator - Females'!A$10:B$19,2,FALSE),0)</f>
        <v>0</v>
      </c>
      <c r="Q55" s="5">
        <v>0.85399999999999998</v>
      </c>
      <c r="R55" s="5">
        <v>0.17100000000000001</v>
      </c>
      <c r="S55" s="5">
        <f t="shared" si="6"/>
        <v>1.196</v>
      </c>
      <c r="T55" s="5">
        <f t="shared" si="7"/>
        <v>0.51200000000000001</v>
      </c>
      <c r="U55" s="5">
        <f>IFERROR(VLOOKUP(A55,'Calculator - Females'!A$10:G$19,7,FALSE),0)</f>
        <v>0</v>
      </c>
    </row>
    <row r="56" spans="1:21" x14ac:dyDescent="0.35">
      <c r="A56" s="11">
        <v>60</v>
      </c>
      <c r="B56" s="5">
        <v>1.2290000000000001</v>
      </c>
      <c r="C56" s="5">
        <v>0.14799999999999999</v>
      </c>
      <c r="D56" s="5">
        <f t="shared" si="0"/>
        <v>1.5250000000000001</v>
      </c>
      <c r="E56" s="5">
        <f t="shared" si="1"/>
        <v>0.93300000000000005</v>
      </c>
      <c r="F56" s="5">
        <f>IFERROR(VLOOKUP(A56,'Calculator - Males'!A$10:B$19,2,FALSE),0)</f>
        <v>0</v>
      </c>
      <c r="G56" s="5">
        <v>0.94599999999999995</v>
      </c>
      <c r="H56" s="5">
        <v>0.184</v>
      </c>
      <c r="I56" s="5">
        <f t="shared" si="2"/>
        <v>1.3140000000000001</v>
      </c>
      <c r="J56" s="5">
        <f t="shared" si="3"/>
        <v>0.57799999999999996</v>
      </c>
      <c r="K56" s="5">
        <f>IFERROR(VLOOKUP(A56,'Calculator - Males'!A$10:G$19,7,FALSE),0)</f>
        <v>0</v>
      </c>
      <c r="L56" s="5">
        <v>1.042</v>
      </c>
      <c r="M56" s="5">
        <v>0.11799999999999999</v>
      </c>
      <c r="N56" s="5">
        <f t="shared" si="4"/>
        <v>1.278</v>
      </c>
      <c r="O56" s="5">
        <f t="shared" si="5"/>
        <v>0.80600000000000005</v>
      </c>
      <c r="P56" s="5">
        <f>IFERROR(VLOOKUP(A56,'Calculator - Females'!A$10:B$19,2,FALSE),0)</f>
        <v>0</v>
      </c>
      <c r="Q56" s="5">
        <v>0.85199999999999998</v>
      </c>
      <c r="R56" s="5">
        <v>0.17199999999999999</v>
      </c>
      <c r="S56" s="5">
        <f t="shared" si="6"/>
        <v>1.196</v>
      </c>
      <c r="T56" s="5">
        <f t="shared" si="7"/>
        <v>0.50800000000000001</v>
      </c>
      <c r="U56" s="5">
        <f>IFERROR(VLOOKUP(A56,'Calculator - Females'!A$10:G$19,7,FALSE),0)</f>
        <v>0</v>
      </c>
    </row>
    <row r="57" spans="1:21" x14ac:dyDescent="0.35">
      <c r="A57" s="11">
        <v>61</v>
      </c>
      <c r="B57" s="5">
        <v>1.2330000000000001</v>
      </c>
      <c r="C57" s="5">
        <v>0.14899999999999999</v>
      </c>
      <c r="D57" s="5">
        <f t="shared" si="0"/>
        <v>1.5310000000000001</v>
      </c>
      <c r="E57" s="5">
        <f t="shared" si="1"/>
        <v>0.93500000000000005</v>
      </c>
      <c r="F57" s="5">
        <f>IFERROR(VLOOKUP(A57,'Calculator - Males'!A$10:B$19,2,FALSE),0)</f>
        <v>0</v>
      </c>
      <c r="G57" s="5">
        <v>0.94599999999999995</v>
      </c>
      <c r="H57" s="5">
        <v>0.185</v>
      </c>
      <c r="I57" s="5">
        <f t="shared" si="2"/>
        <v>1.3159999999999998</v>
      </c>
      <c r="J57" s="5">
        <f t="shared" si="3"/>
        <v>0.57599999999999996</v>
      </c>
      <c r="K57" s="5">
        <f>IFERROR(VLOOKUP(A57,'Calculator - Males'!A$10:G$19,7,FALSE),0)</f>
        <v>0</v>
      </c>
      <c r="L57" s="5">
        <v>1.042</v>
      </c>
      <c r="M57" s="5">
        <v>0.11899999999999999</v>
      </c>
      <c r="N57" s="5">
        <f t="shared" si="4"/>
        <v>1.28</v>
      </c>
      <c r="O57" s="5">
        <f t="shared" si="5"/>
        <v>0.80400000000000005</v>
      </c>
      <c r="P57" s="5">
        <f>IFERROR(VLOOKUP(A57,'Calculator - Females'!A$10:B$19,2,FALSE),0)</f>
        <v>0</v>
      </c>
      <c r="Q57" s="5">
        <v>0.84899999999999998</v>
      </c>
      <c r="R57" s="5">
        <v>0.17299999999999999</v>
      </c>
      <c r="S57" s="5">
        <f t="shared" si="6"/>
        <v>1.1949999999999998</v>
      </c>
      <c r="T57" s="5">
        <f t="shared" si="7"/>
        <v>0.503</v>
      </c>
      <c r="U57" s="5">
        <f>IFERROR(VLOOKUP(A57,'Calculator - Females'!A$10:G$19,7,FALSE),0)</f>
        <v>0</v>
      </c>
    </row>
    <row r="58" spans="1:21" x14ac:dyDescent="0.35">
      <c r="A58" s="11">
        <v>62</v>
      </c>
      <c r="B58" s="5">
        <v>1.236</v>
      </c>
      <c r="C58" s="5">
        <v>0.15</v>
      </c>
      <c r="D58" s="5">
        <f t="shared" si="0"/>
        <v>1.536</v>
      </c>
      <c r="E58" s="5">
        <f t="shared" si="1"/>
        <v>0.93599999999999994</v>
      </c>
      <c r="F58" s="5">
        <f>IFERROR(VLOOKUP(A58,'Calculator - Males'!A$10:B$19,2,FALSE),0)</f>
        <v>0</v>
      </c>
      <c r="G58" s="5">
        <v>0.94599999999999995</v>
      </c>
      <c r="H58" s="5">
        <v>0.186</v>
      </c>
      <c r="I58" s="5">
        <f t="shared" si="2"/>
        <v>1.3180000000000001</v>
      </c>
      <c r="J58" s="5">
        <f t="shared" si="3"/>
        <v>0.57399999999999995</v>
      </c>
      <c r="K58" s="5">
        <f>IFERROR(VLOOKUP(A58,'Calculator - Males'!A$10:G$19,7,FALSE),0)</f>
        <v>0</v>
      </c>
      <c r="L58" s="5">
        <v>1.042</v>
      </c>
      <c r="M58" s="5">
        <v>0.11899999999999999</v>
      </c>
      <c r="N58" s="5">
        <f t="shared" si="4"/>
        <v>1.28</v>
      </c>
      <c r="O58" s="5">
        <f t="shared" si="5"/>
        <v>0.80400000000000005</v>
      </c>
      <c r="P58" s="5">
        <f>IFERROR(VLOOKUP(A58,'Calculator - Females'!A$10:B$19,2,FALSE),0)</f>
        <v>0</v>
      </c>
      <c r="Q58" s="5">
        <v>0.84699999999999998</v>
      </c>
      <c r="R58" s="5">
        <v>0.17299999999999999</v>
      </c>
      <c r="S58" s="5">
        <f t="shared" si="6"/>
        <v>1.1930000000000001</v>
      </c>
      <c r="T58" s="5">
        <f t="shared" si="7"/>
        <v>0.501</v>
      </c>
      <c r="U58" s="5">
        <f>IFERROR(VLOOKUP(A58,'Calculator - Females'!A$10:G$19,7,FALSE),0)</f>
        <v>0</v>
      </c>
    </row>
    <row r="59" spans="1:21" x14ac:dyDescent="0.35">
      <c r="A59" s="11">
        <v>63</v>
      </c>
      <c r="B59" s="5">
        <v>1.24</v>
      </c>
      <c r="C59" s="5">
        <v>0.152</v>
      </c>
      <c r="D59" s="5">
        <f t="shared" si="0"/>
        <v>1.544</v>
      </c>
      <c r="E59" s="5">
        <f t="shared" si="1"/>
        <v>0.93599999999999994</v>
      </c>
      <c r="F59" s="5">
        <f>IFERROR(VLOOKUP(A59,'Calculator - Males'!A$10:B$19,2,FALSE),0)</f>
        <v>0</v>
      </c>
      <c r="G59" s="5">
        <v>0.94599999999999995</v>
      </c>
      <c r="H59" s="5">
        <v>0.188</v>
      </c>
      <c r="I59" s="5">
        <f t="shared" si="2"/>
        <v>1.3220000000000001</v>
      </c>
      <c r="J59" s="5">
        <f t="shared" si="3"/>
        <v>0.56999999999999995</v>
      </c>
      <c r="K59" s="5">
        <f>IFERROR(VLOOKUP(A59,'Calculator - Males'!A$10:G$19,7,FALSE),0)</f>
        <v>0</v>
      </c>
      <c r="L59" s="5">
        <v>1.0429999999999999</v>
      </c>
      <c r="M59" s="5">
        <v>0.12</v>
      </c>
      <c r="N59" s="5">
        <f t="shared" si="4"/>
        <v>1.2829999999999999</v>
      </c>
      <c r="O59" s="5">
        <f t="shared" si="5"/>
        <v>0.80299999999999994</v>
      </c>
      <c r="P59" s="5">
        <f>IFERROR(VLOOKUP(A59,'Calculator - Females'!A$10:B$19,2,FALSE),0)</f>
        <v>0</v>
      </c>
      <c r="Q59" s="5">
        <v>0.84399999999999997</v>
      </c>
      <c r="R59" s="5">
        <v>0.17399999999999999</v>
      </c>
      <c r="S59" s="5">
        <f t="shared" si="6"/>
        <v>1.1919999999999999</v>
      </c>
      <c r="T59" s="5">
        <f t="shared" si="7"/>
        <v>0.496</v>
      </c>
      <c r="U59" s="5">
        <f>IFERROR(VLOOKUP(A59,'Calculator - Females'!A$10:G$19,7,FALSE),0)</f>
        <v>0</v>
      </c>
    </row>
    <row r="60" spans="1:21" x14ac:dyDescent="0.35">
      <c r="A60" s="11">
        <v>64</v>
      </c>
      <c r="B60" s="5">
        <v>1.2430000000000001</v>
      </c>
      <c r="C60" s="5">
        <v>0.153</v>
      </c>
      <c r="D60" s="5">
        <f t="shared" si="0"/>
        <v>1.5490000000000002</v>
      </c>
      <c r="E60" s="5">
        <f t="shared" si="1"/>
        <v>0.93700000000000006</v>
      </c>
      <c r="F60" s="5">
        <f>IFERROR(VLOOKUP(A60,'Calculator - Males'!A$10:B$19,2,FALSE),0)</f>
        <v>0</v>
      </c>
      <c r="G60" s="5">
        <v>0.94599999999999995</v>
      </c>
      <c r="H60" s="5">
        <v>0.189</v>
      </c>
      <c r="I60" s="5">
        <f t="shared" si="2"/>
        <v>1.3239999999999998</v>
      </c>
      <c r="J60" s="5">
        <f t="shared" si="3"/>
        <v>0.56799999999999995</v>
      </c>
      <c r="K60" s="5">
        <f>IFERROR(VLOOKUP(A60,'Calculator - Males'!A$10:G$19,7,FALSE),0)</f>
        <v>0</v>
      </c>
      <c r="L60" s="5">
        <v>1.0429999999999999</v>
      </c>
      <c r="M60" s="5">
        <v>0.12</v>
      </c>
      <c r="N60" s="5">
        <f t="shared" si="4"/>
        <v>1.2829999999999999</v>
      </c>
      <c r="O60" s="5">
        <f t="shared" si="5"/>
        <v>0.80299999999999994</v>
      </c>
      <c r="P60" s="5">
        <f>IFERROR(VLOOKUP(A60,'Calculator - Females'!A$10:B$19,2,FALSE),0)</f>
        <v>0</v>
      </c>
      <c r="Q60" s="5">
        <v>0.84199999999999997</v>
      </c>
      <c r="R60" s="5">
        <v>0.17499999999999999</v>
      </c>
      <c r="S60" s="5">
        <f t="shared" si="6"/>
        <v>1.1919999999999999</v>
      </c>
      <c r="T60" s="5">
        <f t="shared" si="7"/>
        <v>0.49199999999999999</v>
      </c>
      <c r="U60" s="5">
        <f>IFERROR(VLOOKUP(A60,'Calculator - Females'!A$10:G$19,7,FALSE),0)</f>
        <v>0</v>
      </c>
    </row>
    <row r="61" spans="1:21" x14ac:dyDescent="0.35">
      <c r="A61" s="11">
        <v>65</v>
      </c>
      <c r="B61" s="5">
        <v>1.2470000000000001</v>
      </c>
      <c r="C61" s="5">
        <v>0.154</v>
      </c>
      <c r="D61" s="5">
        <f t="shared" si="0"/>
        <v>1.5550000000000002</v>
      </c>
      <c r="E61" s="5">
        <f t="shared" si="1"/>
        <v>0.93900000000000006</v>
      </c>
      <c r="F61" s="5">
        <f>IFERROR(VLOOKUP(A61,'Calculator - Males'!A$10:B$19,2,FALSE),0)</f>
        <v>0</v>
      </c>
      <c r="G61" s="5">
        <v>0.94599999999999995</v>
      </c>
      <c r="H61" s="5">
        <v>0.191</v>
      </c>
      <c r="I61" s="5">
        <f t="shared" si="2"/>
        <v>1.3279999999999998</v>
      </c>
      <c r="J61" s="5">
        <f t="shared" si="3"/>
        <v>0.56399999999999995</v>
      </c>
      <c r="K61" s="5">
        <f>IFERROR(VLOOKUP(A61,'Calculator - Males'!A$10:G$19,7,FALSE),0)</f>
        <v>0</v>
      </c>
      <c r="L61" s="5">
        <v>1.044</v>
      </c>
      <c r="M61" s="5">
        <v>0.121</v>
      </c>
      <c r="N61" s="5">
        <f t="shared" si="4"/>
        <v>1.286</v>
      </c>
      <c r="O61" s="5">
        <f t="shared" si="5"/>
        <v>0.80200000000000005</v>
      </c>
      <c r="P61" s="5">
        <f>IFERROR(VLOOKUP(A61,'Calculator - Females'!A$10:B$19,2,FALSE),0)</f>
        <v>0</v>
      </c>
      <c r="Q61" s="5">
        <v>0.83899999999999997</v>
      </c>
      <c r="R61" s="5">
        <v>0.17599999999999999</v>
      </c>
      <c r="S61" s="5">
        <f t="shared" si="6"/>
        <v>1.1909999999999998</v>
      </c>
      <c r="T61" s="5">
        <f t="shared" si="7"/>
        <v>0.48699999999999999</v>
      </c>
      <c r="U61" s="5">
        <f>IFERROR(VLOOKUP(A61,'Calculator - Females'!A$10:G$19,7,FALSE),0)</f>
        <v>0</v>
      </c>
    </row>
    <row r="62" spans="1:21" x14ac:dyDescent="0.35">
      <c r="A62" s="11">
        <v>66</v>
      </c>
      <c r="B62" s="5">
        <v>1.2509999999999999</v>
      </c>
      <c r="C62" s="5">
        <v>0.155</v>
      </c>
      <c r="D62" s="5">
        <f t="shared" si="0"/>
        <v>1.5609999999999999</v>
      </c>
      <c r="E62" s="5">
        <f t="shared" si="1"/>
        <v>0.94099999999999984</v>
      </c>
      <c r="F62" s="5">
        <f>IFERROR(VLOOKUP(A62,'Calculator - Males'!A$10:B$19,2,FALSE),0)</f>
        <v>0</v>
      </c>
      <c r="G62" s="5">
        <v>0.94599999999999995</v>
      </c>
      <c r="H62" s="5">
        <v>0.192</v>
      </c>
      <c r="I62" s="5">
        <f t="shared" si="2"/>
        <v>1.33</v>
      </c>
      <c r="J62" s="5">
        <f t="shared" si="3"/>
        <v>0.56199999999999994</v>
      </c>
      <c r="K62" s="5">
        <f>IFERROR(VLOOKUP(A62,'Calculator - Males'!A$10:G$19,7,FALSE),0)</f>
        <v>0</v>
      </c>
      <c r="L62" s="5">
        <v>1.044</v>
      </c>
      <c r="M62" s="5">
        <v>0.122</v>
      </c>
      <c r="N62" s="5">
        <f t="shared" si="4"/>
        <v>1.288</v>
      </c>
      <c r="O62" s="5">
        <f t="shared" si="5"/>
        <v>0.8</v>
      </c>
      <c r="P62" s="5">
        <f>IFERROR(VLOOKUP(A62,'Calculator - Females'!A$10:B$19,2,FALSE),0)</f>
        <v>0</v>
      </c>
      <c r="Q62" s="5">
        <v>0.83699999999999997</v>
      </c>
      <c r="R62" s="5">
        <v>0.17599999999999999</v>
      </c>
      <c r="S62" s="5">
        <f t="shared" si="6"/>
        <v>1.1890000000000001</v>
      </c>
      <c r="T62" s="5">
        <f t="shared" si="7"/>
        <v>0.48499999999999999</v>
      </c>
      <c r="U62" s="5">
        <f>IFERROR(VLOOKUP(A62,'Calculator - Females'!A$10:G$19,7,FALSE),0)</f>
        <v>0</v>
      </c>
    </row>
    <row r="63" spans="1:21" x14ac:dyDescent="0.35">
      <c r="A63" s="11">
        <v>67</v>
      </c>
      <c r="B63" s="5">
        <v>1.254</v>
      </c>
      <c r="C63" s="5">
        <v>0.157</v>
      </c>
      <c r="D63" s="5">
        <f t="shared" si="0"/>
        <v>1.5680000000000001</v>
      </c>
      <c r="E63" s="5">
        <f t="shared" si="1"/>
        <v>0.94</v>
      </c>
      <c r="F63" s="5">
        <f>IFERROR(VLOOKUP(A63,'Calculator - Males'!A$10:B$19,2,FALSE),0)</f>
        <v>0</v>
      </c>
      <c r="G63" s="5">
        <v>0.94599999999999995</v>
      </c>
      <c r="H63" s="5">
        <v>0.19400000000000001</v>
      </c>
      <c r="I63" s="5">
        <f t="shared" si="2"/>
        <v>1.3340000000000001</v>
      </c>
      <c r="J63" s="5">
        <f t="shared" si="3"/>
        <v>0.55799999999999994</v>
      </c>
      <c r="K63" s="5">
        <f>IFERROR(VLOOKUP(A63,'Calculator - Males'!A$10:G$19,7,FALSE),0)</f>
        <v>0</v>
      </c>
      <c r="L63" s="5">
        <v>1.044</v>
      </c>
      <c r="M63" s="5">
        <v>0.122</v>
      </c>
      <c r="N63" s="5">
        <f t="shared" si="4"/>
        <v>1.288</v>
      </c>
      <c r="O63" s="5">
        <f t="shared" si="5"/>
        <v>0.8</v>
      </c>
      <c r="P63" s="5">
        <f>IFERROR(VLOOKUP(A63,'Calculator - Females'!A$10:B$19,2,FALSE),0)</f>
        <v>0</v>
      </c>
      <c r="Q63" s="5">
        <v>0.83399999999999996</v>
      </c>
      <c r="R63" s="5">
        <v>0.17699999999999999</v>
      </c>
      <c r="S63" s="5">
        <f t="shared" si="6"/>
        <v>1.1879999999999999</v>
      </c>
      <c r="T63" s="5">
        <f t="shared" si="7"/>
        <v>0.48</v>
      </c>
      <c r="U63" s="5">
        <f>IFERROR(VLOOKUP(A63,'Calculator - Females'!A$10:G$19,7,FALSE),0)</f>
        <v>0</v>
      </c>
    </row>
    <row r="64" spans="1:21" x14ac:dyDescent="0.35">
      <c r="A64" s="11">
        <v>68</v>
      </c>
      <c r="B64" s="5">
        <v>1.258</v>
      </c>
      <c r="C64" s="5">
        <v>0.158</v>
      </c>
      <c r="D64" s="5">
        <f t="shared" si="0"/>
        <v>1.5740000000000001</v>
      </c>
      <c r="E64" s="5">
        <f t="shared" si="1"/>
        <v>0.94199999999999995</v>
      </c>
      <c r="F64" s="5">
        <f>IFERROR(VLOOKUP(A64,'Calculator - Males'!A$10:B$19,2,FALSE),0)</f>
        <v>0</v>
      </c>
      <c r="G64" s="5">
        <v>0.94599999999999995</v>
      </c>
      <c r="H64" s="5">
        <v>0.19500000000000001</v>
      </c>
      <c r="I64" s="5">
        <f t="shared" si="2"/>
        <v>1.3359999999999999</v>
      </c>
      <c r="J64" s="5">
        <f t="shared" si="3"/>
        <v>0.55599999999999994</v>
      </c>
      <c r="K64" s="5">
        <f>IFERROR(VLOOKUP(A64,'Calculator - Males'!A$10:G$19,7,FALSE),0)</f>
        <v>0</v>
      </c>
      <c r="L64" s="5">
        <v>1.0449999999999999</v>
      </c>
      <c r="M64" s="5">
        <v>0.123</v>
      </c>
      <c r="N64" s="5">
        <f t="shared" si="4"/>
        <v>1.2909999999999999</v>
      </c>
      <c r="O64" s="5">
        <f t="shared" si="5"/>
        <v>0.79899999999999993</v>
      </c>
      <c r="P64" s="5">
        <f>IFERROR(VLOOKUP(A64,'Calculator - Females'!A$10:B$19,2,FALSE),0)</f>
        <v>0</v>
      </c>
      <c r="Q64" s="5">
        <v>0.83199999999999996</v>
      </c>
      <c r="R64" s="5">
        <v>0.17799999999999999</v>
      </c>
      <c r="S64" s="5">
        <f t="shared" si="6"/>
        <v>1.1879999999999999</v>
      </c>
      <c r="T64" s="5">
        <f t="shared" si="7"/>
        <v>0.47599999999999998</v>
      </c>
      <c r="U64" s="5">
        <f>IFERROR(VLOOKUP(A64,'Calculator - Females'!A$10:G$19,7,FALSE),0)</f>
        <v>0</v>
      </c>
    </row>
    <row r="65" spans="1:21" x14ac:dyDescent="0.35">
      <c r="A65" s="11">
        <v>69</v>
      </c>
      <c r="B65" s="5">
        <v>1.2609999999999999</v>
      </c>
      <c r="C65" s="5">
        <v>0.159</v>
      </c>
      <c r="D65" s="5">
        <f t="shared" si="0"/>
        <v>1.579</v>
      </c>
      <c r="E65" s="5">
        <f t="shared" si="1"/>
        <v>0.94299999999999984</v>
      </c>
      <c r="F65" s="5">
        <f>IFERROR(VLOOKUP(A65,'Calculator - Males'!A$10:B$19,2,FALSE),0)</f>
        <v>0</v>
      </c>
      <c r="G65" s="5">
        <v>0.94599999999999995</v>
      </c>
      <c r="H65" s="5">
        <v>0.19700000000000001</v>
      </c>
      <c r="I65" s="5">
        <f t="shared" si="2"/>
        <v>1.3399999999999999</v>
      </c>
      <c r="J65" s="5">
        <f t="shared" si="3"/>
        <v>0.55199999999999994</v>
      </c>
      <c r="K65" s="5">
        <f>IFERROR(VLOOKUP(A65,'Calculator - Males'!A$10:G$19,7,FALSE),0)</f>
        <v>0</v>
      </c>
      <c r="L65" s="5">
        <v>1.0449999999999999</v>
      </c>
      <c r="M65" s="5">
        <v>0.123</v>
      </c>
      <c r="N65" s="5">
        <f t="shared" si="4"/>
        <v>1.2909999999999999</v>
      </c>
      <c r="O65" s="5">
        <f t="shared" si="5"/>
        <v>0.79899999999999993</v>
      </c>
      <c r="P65" s="5">
        <f>IFERROR(VLOOKUP(A65,'Calculator - Females'!A$10:B$19,2,FALSE),0)</f>
        <v>0</v>
      </c>
      <c r="Q65" s="5">
        <v>0.82899999999999996</v>
      </c>
      <c r="R65" s="5">
        <v>0.17899999999999999</v>
      </c>
      <c r="S65" s="5">
        <f t="shared" si="6"/>
        <v>1.1869999999999998</v>
      </c>
      <c r="T65" s="5">
        <f t="shared" si="7"/>
        <v>0.47099999999999997</v>
      </c>
      <c r="U65" s="5">
        <f>IFERROR(VLOOKUP(A65,'Calculator - Females'!A$10:G$19,7,FALSE),0)</f>
        <v>0</v>
      </c>
    </row>
    <row r="66" spans="1:21" x14ac:dyDescent="0.35">
      <c r="A66" s="11">
        <v>70</v>
      </c>
      <c r="B66" s="5">
        <v>1.2649999999999999</v>
      </c>
      <c r="C66" s="5">
        <v>0.161</v>
      </c>
      <c r="D66" s="5">
        <f t="shared" si="0"/>
        <v>1.587</v>
      </c>
      <c r="E66" s="5">
        <f t="shared" si="1"/>
        <v>0.94299999999999984</v>
      </c>
      <c r="F66" s="5">
        <f>IFERROR(VLOOKUP(A66,'Calculator - Males'!A$10:B$19,2,FALSE),0)</f>
        <v>0</v>
      </c>
      <c r="G66" s="5">
        <v>0.94599999999999995</v>
      </c>
      <c r="H66" s="5">
        <v>0.19900000000000001</v>
      </c>
      <c r="I66" s="5">
        <f t="shared" si="2"/>
        <v>1.3439999999999999</v>
      </c>
      <c r="J66" s="5">
        <f t="shared" si="3"/>
        <v>0.54799999999999993</v>
      </c>
      <c r="K66" s="5">
        <f>IFERROR(VLOOKUP(A66,'Calculator - Males'!A$10:G$19,7,FALSE),0)</f>
        <v>0</v>
      </c>
      <c r="L66" s="5">
        <v>1.046</v>
      </c>
      <c r="M66" s="5">
        <v>0.124</v>
      </c>
      <c r="N66" s="5">
        <f t="shared" si="4"/>
        <v>1.294</v>
      </c>
      <c r="O66" s="5">
        <f t="shared" si="5"/>
        <v>0.79800000000000004</v>
      </c>
      <c r="P66" s="5">
        <f>IFERROR(VLOOKUP(A66,'Calculator - Females'!A$10:B$19,2,FALSE),0)</f>
        <v>0</v>
      </c>
      <c r="Q66" s="5">
        <v>0.82699999999999996</v>
      </c>
      <c r="R66" s="5">
        <v>0.18</v>
      </c>
      <c r="S66" s="5">
        <f t="shared" si="6"/>
        <v>1.1869999999999998</v>
      </c>
      <c r="T66" s="5">
        <f t="shared" si="7"/>
        <v>0.46699999999999997</v>
      </c>
      <c r="U66" s="5">
        <f>IFERROR(VLOOKUP(A66,'Calculator - Females'!A$10:G$19,7,FALSE),0)</f>
        <v>0</v>
      </c>
    </row>
  </sheetData>
  <mergeCells count="7">
    <mergeCell ref="L4:O4"/>
    <mergeCell ref="Q4:T4"/>
    <mergeCell ref="B3:K3"/>
    <mergeCell ref="L3:U3"/>
    <mergeCell ref="A4:A5"/>
    <mergeCell ref="B4:E4"/>
    <mergeCell ref="G4:J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 - Males</vt:lpstr>
      <vt:lpstr>Calculator - Females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Cheryl Lynch</dc:creator>
  <cp:lastModifiedBy>Janidarmian, Majid</cp:lastModifiedBy>
  <cp:lastPrinted>2014-03-07T16:26:48Z</cp:lastPrinted>
  <dcterms:created xsi:type="dcterms:W3CDTF">2012-05-24T14:34:19Z</dcterms:created>
  <dcterms:modified xsi:type="dcterms:W3CDTF">2019-06-28T17:25:43Z</dcterms:modified>
</cp:coreProperties>
</file>